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project\"/>
    </mc:Choice>
  </mc:AlternateContent>
  <xr:revisionPtr revIDLastSave="0" documentId="8_{EB067F67-6FCB-4EBE-A192-E45E6E025BBB}" xr6:coauthVersionLast="47" xr6:coauthVersionMax="47" xr10:uidLastSave="{00000000-0000-0000-0000-000000000000}"/>
  <bookViews>
    <workbookView xWindow="11424" yWindow="0" windowWidth="11712" windowHeight="12336" xr2:uid="{B63641F1-6FFC-4544-897F-A0A370938BC1}"/>
  </bookViews>
  <sheets>
    <sheet name="README" sheetId="9" r:id="rId1"/>
    <sheet name="Product_Lookup " sheetId="2" r:id="rId2"/>
    <sheet name="Sales_Data" sheetId="4" r:id="rId3"/>
    <sheet name="Analysis" sheetId="5" r:id="rId4"/>
    <sheet name="Pivot_Summary" sheetId="6" r:id="rId5"/>
    <sheet name="Dashboard" sheetId="7" r:id="rId6"/>
  </sheets>
  <definedNames>
    <definedName name="_xlnm._FilterDatabase" localSheetId="3" hidden="1">Analysis!$A$1:$B$8</definedName>
    <definedName name="ExternalData_1" localSheetId="1" hidden="1">'Product_Lookup '!$A$1:$F$16</definedName>
    <definedName name="ExternalData_2" localSheetId="2" hidden="1">Sales_Data!$A$1:$F$65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7" l="1"/>
  <c r="D5" i="7"/>
  <c r="C5" i="7"/>
  <c r="B5" i="7"/>
  <c r="I5" i="4"/>
  <c r="K5" i="4"/>
  <c r="K2" i="4"/>
  <c r="K3" i="4"/>
  <c r="K4" i="4"/>
  <c r="K6" i="4"/>
  <c r="K7" i="4"/>
  <c r="K8" i="4"/>
  <c r="B2" i="5"/>
  <c r="B3" i="5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10" i="4"/>
  <c r="K11" i="4"/>
  <c r="K12" i="4"/>
  <c r="K13" i="4"/>
  <c r="K14" i="4"/>
  <c r="K15" i="4"/>
  <c r="K16" i="4"/>
  <c r="K9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H5" i="4"/>
  <c r="G5" i="4"/>
  <c r="I4" i="4"/>
  <c r="H4" i="4"/>
  <c r="G4" i="4"/>
  <c r="I3" i="4"/>
  <c r="H3" i="4"/>
  <c r="G3" i="4"/>
  <c r="I2" i="4"/>
  <c r="H2" i="4"/>
  <c r="G2" i="4"/>
  <c r="B8" i="5" l="1"/>
  <c r="B4" i="5"/>
  <c r="J5" i="4"/>
  <c r="J25" i="4"/>
  <c r="J23" i="4"/>
  <c r="J45" i="4"/>
  <c r="J16" i="4"/>
  <c r="J7" i="4"/>
  <c r="J31" i="4"/>
  <c r="J10" i="4"/>
  <c r="J59" i="4"/>
  <c r="J11" i="4"/>
  <c r="J58" i="4"/>
  <c r="J43" i="4"/>
  <c r="J32" i="4"/>
  <c r="J46" i="4"/>
  <c r="J52" i="4"/>
  <c r="J26" i="4"/>
  <c r="J38" i="4"/>
  <c r="J39" i="4"/>
  <c r="J53" i="4"/>
  <c r="J33" i="4"/>
  <c r="J17" i="4"/>
  <c r="J8" i="4"/>
  <c r="J54" i="4"/>
  <c r="J12" i="4"/>
  <c r="J55" i="4"/>
  <c r="J47" i="4"/>
  <c r="J34" i="4"/>
  <c r="J24" i="4"/>
  <c r="J2" i="4"/>
  <c r="J60" i="4"/>
  <c r="J18" i="4"/>
  <c r="J13" i="4"/>
  <c r="J56" i="4"/>
  <c r="J48" i="4"/>
  <c r="J37" i="4"/>
  <c r="J30" i="4"/>
  <c r="J35" i="4"/>
  <c r="J28" i="4"/>
  <c r="J51" i="4"/>
  <c r="J44" i="4"/>
  <c r="J20" i="4"/>
  <c r="J6" i="4"/>
  <c r="J19" i="4"/>
  <c r="J14" i="4"/>
  <c r="J40" i="4"/>
  <c r="J29" i="4"/>
  <c r="J3" i="4"/>
  <c r="J50" i="4"/>
  <c r="J27" i="4"/>
  <c r="J36" i="4"/>
  <c r="J61" i="4"/>
  <c r="J21" i="4"/>
  <c r="J15" i="4"/>
  <c r="J9" i="4"/>
  <c r="J41" i="4"/>
  <c r="J4" i="4"/>
  <c r="J49" i="4"/>
  <c r="J42" i="4"/>
  <c r="J22" i="4"/>
  <c r="J57" i="4"/>
  <c r="B6" i="5" l="1"/>
  <c r="B7" i="5"/>
  <c r="B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6628D2-98C8-4E16-B3DD-AED301369E40}" keepAlive="1" name="Query - Product_Lookup" description="Connection to the 'Product_Lookup' query in the workbook." type="5" refreshedVersion="8" background="1" saveData="1">
    <dbPr connection="Provider=Microsoft.Mashup.OleDb.1;Data Source=$Workbook$;Location=Product_Lookup;Extended Properties=&quot;&quot;" command="SELECT * FROM [Product_Lookup]"/>
  </connection>
  <connection id="2" xr16:uid="{C90273FA-B624-4CAA-AB4D-135664F15118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<sst xmlns="http://schemas.openxmlformats.org/spreadsheetml/2006/main" count="396" uniqueCount="201">
  <si>
    <t>ProductID</t>
  </si>
  <si>
    <t>ProductName</t>
  </si>
  <si>
    <t>Category</t>
  </si>
  <si>
    <t>UnitPrice</t>
  </si>
  <si>
    <t>ReorderLevel</t>
  </si>
  <si>
    <t>CurrentStock</t>
  </si>
  <si>
    <t>P001</t>
  </si>
  <si>
    <t>Wireless Mouse</t>
  </si>
  <si>
    <t>Electronics</t>
  </si>
  <si>
    <t>P002</t>
  </si>
  <si>
    <t>USB-C Cable</t>
  </si>
  <si>
    <t>P003</t>
  </si>
  <si>
    <t>Bluetooth Speaker</t>
  </si>
  <si>
    <t>P004</t>
  </si>
  <si>
    <t>Laptop Stand</t>
  </si>
  <si>
    <t>Accessories</t>
  </si>
  <si>
    <t>P005</t>
  </si>
  <si>
    <t>Mechanical Keyboard</t>
  </si>
  <si>
    <t>P006</t>
  </si>
  <si>
    <t>Notebook Set</t>
  </si>
  <si>
    <t>Stationery</t>
  </si>
  <si>
    <t>P007</t>
  </si>
  <si>
    <t>Gel Pens (Pack of 10)</t>
  </si>
  <si>
    <t>P008</t>
  </si>
  <si>
    <t>Sticky Notes</t>
  </si>
  <si>
    <t>P009</t>
  </si>
  <si>
    <t>Desk Organizer</t>
  </si>
  <si>
    <t>Furniture</t>
  </si>
  <si>
    <t>P010</t>
  </si>
  <si>
    <t>Office Chair</t>
  </si>
  <si>
    <t>P011</t>
  </si>
  <si>
    <t>Standing Desk</t>
  </si>
  <si>
    <t>P012</t>
  </si>
  <si>
    <t>Webcam HD</t>
  </si>
  <si>
    <t>P013</t>
  </si>
  <si>
    <t>Phone Case</t>
  </si>
  <si>
    <t>P014</t>
  </si>
  <si>
    <t>Laptop Bag</t>
  </si>
  <si>
    <t>P015</t>
  </si>
  <si>
    <t>Monitor 24-inch</t>
  </si>
  <si>
    <t>OrderID</t>
  </si>
  <si>
    <t>OrderDate</t>
  </si>
  <si>
    <t>Quantity</t>
  </si>
  <si>
    <t>Region</t>
  </si>
  <si>
    <t>SalesRep</t>
  </si>
  <si>
    <t>O1001</t>
  </si>
  <si>
    <t>East</t>
  </si>
  <si>
    <t>Rohan</t>
  </si>
  <si>
    <t>O1002</t>
  </si>
  <si>
    <t>North</t>
  </si>
  <si>
    <t>Priya</t>
  </si>
  <si>
    <t>O1003</t>
  </si>
  <si>
    <t>Asha</t>
  </si>
  <si>
    <t>O1004</t>
  </si>
  <si>
    <t>O1005</t>
  </si>
  <si>
    <t>West</t>
  </si>
  <si>
    <t>O1006</t>
  </si>
  <si>
    <t>O1007</t>
  </si>
  <si>
    <t>South</t>
  </si>
  <si>
    <t>O1008</t>
  </si>
  <si>
    <t>O1009</t>
  </si>
  <si>
    <t>O1010</t>
  </si>
  <si>
    <t>O1011</t>
  </si>
  <si>
    <t>O1012</t>
  </si>
  <si>
    <t>O1013</t>
  </si>
  <si>
    <t>Devon</t>
  </si>
  <si>
    <t>O1014</t>
  </si>
  <si>
    <t>O1015</t>
  </si>
  <si>
    <t>O1016</t>
  </si>
  <si>
    <t>O1017</t>
  </si>
  <si>
    <t>Maria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</si>
  <si>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</si>
  <si>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</si>
  <si>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</si>
  <si>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</si>
  <si>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</si>
  <si>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</si>
  <si>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</si>
  <si>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</si>
  <si>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</si>
  <si>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</si>
  <si>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</si>
  <si>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</si>
  <si>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</si>
  <si>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</si>
  <si>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</si>
  <si>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</si>
  <si>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</si>
  <si>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</si>
  <si>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</si>
  <si>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</si>
  <si>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</si>
  <si>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</si>
  <si>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</si>
  <si>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</si>
  <si>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</si>
  <si>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</si>
  <si>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</si>
  <si>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</si>
  <si>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</si>
  <si>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</si>
  <si>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</si>
  <si>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</si>
  <si>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</si>
  <si>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</si>
  <si>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</si>
  <si>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</si>
  <si>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</si>
  <si>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</si>
  <si>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</si>
  <si>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</si>
  <si>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</si>
  <si>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</si>
  <si>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</si>
  <si>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category</t>
  </si>
  <si>
    <t>TotalSales</t>
  </si>
  <si>
    <t>StockStatus</t>
  </si>
  <si>
    <t>Metric</t>
  </si>
  <si>
    <t>Result</t>
  </si>
  <si>
    <t>Total Orders</t>
  </si>
  <si>
    <t>Orders in North region</t>
  </si>
  <si>
    <t>Orders: North AND Electronics</t>
  </si>
  <si>
    <t>Revenue from Electronics</t>
  </si>
  <si>
    <t>Revenue: North AND Electronics</t>
  </si>
  <si>
    <t>Avg order value — Priya</t>
  </si>
  <si>
    <t>Orders flagged for reorder</t>
  </si>
  <si>
    <t>Row Labels</t>
  </si>
  <si>
    <t>Grand Total</t>
  </si>
  <si>
    <t>Column Labels</t>
  </si>
  <si>
    <t>Sum of TotalSales</t>
  </si>
  <si>
    <t>(All)</t>
  </si>
  <si>
    <t>Sales Dashboard</t>
  </si>
  <si>
    <t>Total Revenue</t>
  </si>
  <si>
    <t>Total orders</t>
  </si>
  <si>
    <t>Avg Order Value</t>
  </si>
  <si>
    <t>Products to Reorder</t>
  </si>
  <si>
    <t>Retail Sales &amp; Inventory Dashboard</t>
  </si>
  <si>
    <t>Project Overview</t>
  </si>
  <si>
    <t>This workbook analyses 60 sales transactions across 4 regions (North, South, East, West)</t>
  </si>
  <si>
    <t>and 5 sales reps, using a master list of 15 products as the lookup reference.</t>
  </si>
  <si>
    <t>It answers two business questions:</t>
  </si>
  <si>
    <t xml:space="preserve">  1.  Which product categories and regions drive the most revenue?</t>
  </si>
  <si>
    <t xml:space="preserve">  2.  Which products are running low on stock and need reordering?</t>
  </si>
  <si>
    <t>Sheet Guide</t>
  </si>
  <si>
    <t>Product_Lookup</t>
  </si>
  <si>
    <t>Master list of 15 products — ProductID, Name, Category, UnitPrice, ReorderLevel, CurrentStock</t>
  </si>
  <si>
    <t>Sales_Data</t>
  </si>
  <si>
    <t>60 raw transactions enriched with VLOOKUP formulas for Name, Category, Price, and an IF stock flag</t>
  </si>
  <si>
    <t>Analysis</t>
  </si>
  <si>
    <t>Labeled formula scratchpad — COUNTIF, COUNTIFS, SUMIF, SUMIFS, AVERAGEIF, XLOOKUP demo</t>
  </si>
  <si>
    <t>Pivot_Summary</t>
  </si>
  <si>
    <t>Category × Region revenue cross-tab built with SUMIFS; build the live PivotTable version here too</t>
  </si>
  <si>
    <t>Dashboard</t>
  </si>
  <si>
    <t>4 KPI cards (Total Revenue, Orders, Avg Order Value, Products to Reorder) + Bar chart + Pie chart</t>
  </si>
  <si>
    <t>Key Formulas Used</t>
  </si>
  <si>
    <t>VLOOKUP</t>
  </si>
  <si>
    <t>Pulls ProductName, Category, UnitPrice from Product_Lookup into every Sales_Data row</t>
  </si>
  <si>
    <t>XLOOKUP</t>
  </si>
  <si>
    <t>Modern alternative to VLOOKUP — no column index needed; works leftward (Excel 2021/365 only)</t>
  </si>
  <si>
    <t>IF</t>
  </si>
  <si>
    <t>Flags each order row as 'Reorder Now' or 'OK' by comparing CurrentStock to ReorderLevel</t>
  </si>
  <si>
    <t>COUNTIF</t>
  </si>
  <si>
    <t>Counts orders matching one condition — e.g. all orders in the North region</t>
  </si>
  <si>
    <t>COUNTIFS</t>
  </si>
  <si>
    <t>Counts orders matching two+ conditions — e.g. North region AND Electronics category</t>
  </si>
  <si>
    <t>SUMIF</t>
  </si>
  <si>
    <t>Sums TotalSale for one condition — e.g. total revenue from Electronics</t>
  </si>
  <si>
    <t>SUMIFS</t>
  </si>
  <si>
    <t>Sums TotalSale for two+ conditions — e.g. North region AND Electronics revenue</t>
  </si>
  <si>
    <t>AVERAGEIF</t>
  </si>
  <si>
    <t>Average order value for a single sales rep</t>
  </si>
  <si>
    <t>COUNTA</t>
  </si>
  <si>
    <t>Total number of orders (counts non-empty cells in the OrderID column)</t>
  </si>
  <si>
    <t>SUM / AVERAGE</t>
  </si>
  <si>
    <t>Grand total revenue and average order value on the Dashboard KPI cards</t>
  </si>
  <si>
    <t>Data Specifications</t>
  </si>
  <si>
    <t>Date range</t>
  </si>
  <si>
    <t>January 2026 – March 2026</t>
  </si>
  <si>
    <t>Orders</t>
  </si>
  <si>
    <t>60 transactions (rows 2–61 in Sales_Data)</t>
  </si>
  <si>
    <t>Products</t>
  </si>
  <si>
    <t>15 SKUs across 4 categories: Electronics, Stationery, Furniture, Accessories</t>
  </si>
  <si>
    <t>Regions</t>
  </si>
  <si>
    <t>North  |  South  |  East  |  West</t>
  </si>
  <si>
    <t>Sales reps</t>
  </si>
  <si>
    <t>Asha  |  Rohan  |  Maria  |  Devon  |  Priya</t>
  </si>
  <si>
    <t>Price range</t>
  </si>
  <si>
    <t>$3.75 (Sticky Notes) – $299.00 (Standing Desk)</t>
  </si>
  <si>
    <t>Interview Skills Checklist</t>
  </si>
  <si>
    <t>☐  VLOOKUP / XLOOKUP — enrich a flat transaction table from a reference table</t>
  </si>
  <si>
    <t>☐  Nested IF + VLOOKUP — flag records based on a condition from another table</t>
  </si>
  <si>
    <t>☐  COUNTIF / COUNTIFS — count rows matching one or multiple conditions</t>
  </si>
  <si>
    <t>☐  SUMIF / SUMIFS — sum values matching one or multiple conditions</t>
  </si>
  <si>
    <t>☐  AVERAGEIF — conditional average</t>
  </si>
  <si>
    <t>☐  PivotTable — drag-and-drop Category × Region × TotalSale summary</t>
  </si>
  <si>
    <t>☐  Charts — clustered bar (by category) and pie (by region) from PivotTable data</t>
  </si>
  <si>
    <t>☐  AutoFilter — filter + cross-check against COUNTIFS to validate formulas</t>
  </si>
  <si>
    <t>☐  Excel Tables (Ctrl+T) — structured references that expand automatically</t>
  </si>
  <si>
    <t>☐  Dashboard KPI cards — SUM / COUNTA / AVERAGE / COUNTIF linked across sheets</t>
  </si>
  <si>
    <t>Built by: Ahamed shajith</t>
  </si>
  <si>
    <t>Date: 27.06.2003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</si>
</sst>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1F4E78"/>
      <name val="Calibri"/>
    </font>
    <font>
      <b/>
      <sz val="12"/>
      <color rgb="FF1F4E78"/>
      <name val="Calibri"/>
    </font>
    <font>
      <sz val="11"/>
      <name val="Calibri"/>
    </font>
    <font>
      <b/>
      <sz val="10"/>
      <color rgb="FF1F4E78"/>
      <name val="Consolas"/>
    </font>
    <font>
      <b/>
      <sz val="10"/>
      <color rgb="FF833C00"/>
      <name val="Consolas"/>
    </font>
    <font>
      <b/>
      <sz val="11"/>
      <color rgb="FF595959"/>
      <name val="Calibri"/>
    </font>
    <font>
      <sz val="11"/>
      <color rgb="FF1F4E78"/>
      <name val="Calibri"/>
    </font>
    <font>
      <i/>
      <sz val="11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2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3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[Excel_Sales_Dashboard_Project.xlsx]Pivot_Summary!PivotTable1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Pivot_Summary!$A$5:$A$9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Pivot_Summary!$B$5:$B$9</c:f>
              <c:numCache>
                <c:formatCode>General</c:formatCode>
                <c:ptCount val="4"/>
                <c:pt idx="0">
                  <c:v>258.44</c:v>
                </c:pt>
                <c:pt idx="1">
                  <c:v>983.36999999999989</c:v>
                </c:pt>
                <c:pt idx="2">
                  <c:v>2990</c:v>
                </c:pt>
                <c:pt idx="3">
                  <c:v>95.75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3-4FCA-8088-C42842AD9C13}"/>
            </c:ext>
          </c:extLst>
        </c:ser>
        <c:ser>
          <c:idx val="1"/>
          <c:order val="1"/>
          <c:tx>
            <c:strRef>
              <c:f>Pivot_Summary!$C$3:$C$4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Pivot_Summary!$A$5:$A$9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Pivot_Summary!$C$5:$C$9</c:f>
              <c:numCache>
                <c:formatCode>General</c:formatCode>
                <c:ptCount val="4"/>
                <c:pt idx="0">
                  <c:v>101.98</c:v>
                </c:pt>
                <c:pt idx="1">
                  <c:v>555.97</c:v>
                </c:pt>
                <c:pt idx="2">
                  <c:v>2875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3-4FCA-8088-C42842AD9C13}"/>
            </c:ext>
          </c:extLst>
        </c:ser>
        <c:ser>
          <c:idx val="2"/>
          <c:order val="2"/>
          <c:tx>
            <c:strRef>
              <c:f>Pivot_Summary!$D$3:$D$4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Pivot_Summary!$A$5:$A$9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Pivot_Summary!$D$5:$D$9</c:f>
              <c:numCache>
                <c:formatCode>General</c:formatCode>
                <c:ptCount val="4"/>
                <c:pt idx="0">
                  <c:v>269.38</c:v>
                </c:pt>
                <c:pt idx="1">
                  <c:v>159.99</c:v>
                </c:pt>
                <c:pt idx="2">
                  <c:v>1288</c:v>
                </c:pt>
                <c:pt idx="3">
                  <c:v>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13-4FCA-8088-C42842AD9C13}"/>
            </c:ext>
          </c:extLst>
        </c:ser>
        <c:ser>
          <c:idx val="3"/>
          <c:order val="3"/>
          <c:tx>
            <c:strRef>
              <c:f>Pivot_Summary!$E$3:$E$4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Pivot_Summary!$A$5:$A$9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Pivot_Summary!$E$5:$E$9</c:f>
              <c:numCache>
                <c:formatCode>General</c:formatCode>
                <c:ptCount val="4"/>
                <c:pt idx="0">
                  <c:v>175</c:v>
                </c:pt>
                <c:pt idx="1">
                  <c:v>2312.4499999999998</c:v>
                </c:pt>
                <c:pt idx="2">
                  <c:v>167</c:v>
                </c:pt>
                <c:pt idx="3">
                  <c:v>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13-4FCA-8088-C42842AD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581712"/>
        <c:axId val="818582192"/>
      </c:barChart>
      <c:catAx>
        <c:axId val="81858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582192"/>
        <c:crosses val="autoZero"/>
        <c:auto val="1"/>
        <c:lblAlgn val="ctr"/>
        <c:lblOffset val="100"/>
        <c:noMultiLvlLbl val="0"/>
      </c:catAx>
      <c:valAx>
        <c:axId val="8185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58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[Excel_Sales_Dashboard_Project.xlsx]Pivot_Summary!PivotTable1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Pivot_Summary!$B$3:$B$4</c:f>
              <c:strCache>
                <c:ptCount val="1"/>
                <c:pt idx="0">
                  <c:v>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7A-491A-8F9C-0C041F32DD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7A-491A-8F9C-0C041F32DD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7A-491A-8F9C-0C041F32DD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97A-491A-8F9C-0C041F32DD7B}"/>
              </c:ext>
            </c:extLst>
          </c:dPt>
          <c:cat>
            <c:strRef>
              <c:f>Pivot_Summary!$A$5:$A$9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Pivot_Summary!$B$5:$B$9</c:f>
              <c:numCache>
                <c:formatCode>General</c:formatCode>
                <c:ptCount val="4"/>
                <c:pt idx="0">
                  <c:v>258.44</c:v>
                </c:pt>
                <c:pt idx="1">
                  <c:v>983.36999999999989</c:v>
                </c:pt>
                <c:pt idx="2">
                  <c:v>2990</c:v>
                </c:pt>
                <c:pt idx="3">
                  <c:v>95.75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7A-491A-8F9C-0C041F32DD7B}"/>
            </c:ext>
          </c:extLst>
        </c:ser>
        <c:ser>
          <c:idx val="1"/>
          <c:order val="1"/>
          <c:tx>
            <c:strRef>
              <c:f>Pivot_Summary!$C$3:$C$4</c:f>
              <c:strCache>
                <c:ptCount val="1"/>
                <c:pt idx="0">
                  <c:v>North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F97A-491A-8F9C-0C041F32DD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F97A-491A-8F9C-0C041F32DD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F97A-491A-8F9C-0C041F32DD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F97A-491A-8F9C-0C041F32DD7B}"/>
              </c:ext>
            </c:extLst>
          </c:dPt>
          <c:cat>
            <c:strRef>
              <c:f>Pivot_Summary!$A$5:$A$9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Pivot_Summary!$C$5:$C$9</c:f>
              <c:numCache>
                <c:formatCode>General</c:formatCode>
                <c:ptCount val="4"/>
                <c:pt idx="0">
                  <c:v>101.98</c:v>
                </c:pt>
                <c:pt idx="1">
                  <c:v>555.97</c:v>
                </c:pt>
                <c:pt idx="2">
                  <c:v>2875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97A-491A-8F9C-0C041F32DD7B}"/>
            </c:ext>
          </c:extLst>
        </c:ser>
        <c:ser>
          <c:idx val="2"/>
          <c:order val="2"/>
          <c:tx>
            <c:strRef>
              <c:f>Pivot_Summary!$D$3:$D$4</c:f>
              <c:strCache>
                <c:ptCount val="1"/>
                <c:pt idx="0">
                  <c:v>South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97A-491A-8F9C-0C041F32DD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97A-491A-8F9C-0C041F32DD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97A-491A-8F9C-0C041F32DD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97A-491A-8F9C-0C041F32DD7B}"/>
              </c:ext>
            </c:extLst>
          </c:dPt>
          <c:cat>
            <c:strRef>
              <c:f>Pivot_Summary!$A$5:$A$9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Pivot_Summary!$D$5:$D$9</c:f>
              <c:numCache>
                <c:formatCode>General</c:formatCode>
                <c:ptCount val="4"/>
                <c:pt idx="0">
                  <c:v>269.38</c:v>
                </c:pt>
                <c:pt idx="1">
                  <c:v>159.99</c:v>
                </c:pt>
                <c:pt idx="2">
                  <c:v>1288</c:v>
                </c:pt>
                <c:pt idx="3">
                  <c:v>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97A-491A-8F9C-0C041F32DD7B}"/>
            </c:ext>
          </c:extLst>
        </c:ser>
        <c:ser>
          <c:idx val="3"/>
          <c:order val="3"/>
          <c:tx>
            <c:strRef>
              <c:f>Pivot_Summary!$E$3:$E$4</c:f>
              <c:strCache>
                <c:ptCount val="1"/>
                <c:pt idx="0">
                  <c:v>West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F97A-491A-8F9C-0C041F32DD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F97A-491A-8F9C-0C041F32DD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F97A-491A-8F9C-0C041F32DD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F97A-491A-8F9C-0C041F32DD7B}"/>
              </c:ext>
            </c:extLst>
          </c:dPt>
          <c:cat>
            <c:strRef>
              <c:f>Pivot_Summary!$A$5:$A$9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Pivot_Summary!$E$5:$E$9</c:f>
              <c:numCache>
                <c:formatCode>General</c:formatCode>
                <c:ptCount val="4"/>
                <c:pt idx="0">
                  <c:v>175</c:v>
                </c:pt>
                <c:pt idx="1">
                  <c:v>2312.4499999999998</c:v>
                </c:pt>
                <c:pt idx="2">
                  <c:v>167</c:v>
                </c:pt>
                <c:pt idx="3">
                  <c:v>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97A-491A-8F9C-0C041F32D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12</xdr:row>
      <xdr:rowOff>135658</xdr:rowOff>
    </xdr:from>
    <xdr:to>
      <xdr:col>5</xdr:col>
      <xdr:colOff>557068</xdr:colOff>
      <xdr:row>23</xdr:row>
      <xdr:rowOff>147205</xdr:rowOff>
    </xdr:to>
    <xdr:graphicFrame macro="">
      <xdr:nvGraphicFramePr>
        <xdr:cNvPr id="2" name="Total Sales by Category">
          <a:extLst>
            <a:ext uri="{FF2B5EF4-FFF2-40B4-BE49-F238E27FC236}">
              <a16:creationId xmlns:a16="http://schemas.microsoft.com/office/drawing/2014/main" id="{C1DEB936-4688-4392-9DE3-86AB14607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832714</xdr:colOff>
      <xdr:row>10</xdr:row>
      <xdr:rowOff>158750</xdr:rowOff>
    </xdr:from>
    <xdr:to>
      <xdr:col>11</xdr:col>
      <xdr:colOff>357625</xdr:colOff>
      <xdr:row>25</xdr:row>
      <xdr:rowOff>85709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48BE4E-729C-493C-A051-C4130E185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AMED SHAJITH J" refreshedDate="46192.446420601853" createdVersion="8" refreshedVersion="8" minRefreshableVersion="3" recordCount="60" xr:uid="{1B322741-6B71-4764-A1A9-27A0EEC8DEE0}">
  <cacheSource type="worksheet">
    <worksheetSource name="Sales_Data"/>
  </cacheSource>
  <cacheFields count="11">
    <cacheField name="OrderID" numFmtId="0">
      <sharedItems/>
    </cacheField>
    <cacheField name="OrderDate" numFmtId="14">
      <sharedItems containsSemiMixedTypes="0" containsNonDate="0" containsDate="1" containsString="0" minDate="2026-01-05T00:00:00" maxDate="2026-03-30T00:00:00"/>
    </cacheField>
    <cacheField name="ProductID" numFmtId="0">
      <sharedItems/>
    </cacheField>
    <cacheField name="Quantity" numFmtId="0">
      <sharedItems containsSemiMixedTypes="0" containsString="0" containsNumber="1" containsInteger="1" minValue="1" maxValue="6"/>
    </cacheField>
    <cacheField name="Region" numFmtId="0">
      <sharedItems count="4">
        <s v="North"/>
        <s v="East"/>
        <s v="West"/>
        <s v="South"/>
      </sharedItems>
    </cacheField>
    <cacheField name="SalesRep" numFmtId="0">
      <sharedItems count="5">
        <s v="Rohan"/>
        <s v="Asha"/>
        <s v="Devon"/>
        <s v="Priya"/>
        <s v="Maria"/>
      </sharedItems>
    </cacheField>
    <cacheField name="ProductName" numFmtId="0">
      <sharedItems/>
    </cacheField>
    <cacheField name="category" numFmtId="0">
      <sharedItems count="4">
        <s v="Electronics"/>
        <s v="Accessories"/>
        <s v="Stationery"/>
        <s v="Furniture"/>
      </sharedItems>
    </cacheField>
    <cacheField name="UnitPrice" numFmtId="0">
      <sharedItems containsSemiMixedTypes="0" containsString="0" containsNumber="1" minValue="3.75" maxValue="299"/>
    </cacheField>
    <cacheField name="TotalSales" numFmtId="0">
      <sharedItems containsSemiMixedTypes="0" containsString="0" containsNumber="1" minValue="3.75" maxValue="1794"/>
    </cacheField>
    <cacheField name="Stock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1042"/>
    <d v="2026-02-02T00:00:00"/>
    <s v="P001"/>
    <n v="1"/>
    <x v="0"/>
    <x v="0"/>
    <s v="Wireless Mouse"/>
    <x v="0"/>
    <n v="25.99"/>
    <n v="25.99"/>
    <s v="Reorder Now"/>
  </r>
  <r>
    <s v="O1059"/>
    <d v="2026-03-15T00:00:00"/>
    <s v="P001"/>
    <n v="6"/>
    <x v="1"/>
    <x v="1"/>
    <s v="Wireless Mouse"/>
    <x v="0"/>
    <n v="25.99"/>
    <n v="155.94"/>
    <s v="Reorder Now"/>
  </r>
  <r>
    <s v="O1001"/>
    <d v="2026-03-27T00:00:00"/>
    <s v="P002"/>
    <n v="1"/>
    <x v="1"/>
    <x v="0"/>
    <s v="USB-C Cable"/>
    <x v="0"/>
    <n v="12.5"/>
    <n v="12.5"/>
    <s v="OK"/>
  </r>
  <r>
    <s v="O1008"/>
    <d v="2026-02-17T00:00:00"/>
    <s v="P002"/>
    <n v="1"/>
    <x v="2"/>
    <x v="1"/>
    <s v="USB-C Cable"/>
    <x v="0"/>
    <n v="12.5"/>
    <n v="12.5"/>
    <s v="OK"/>
  </r>
  <r>
    <s v="O1013"/>
    <d v="2026-02-11T00:00:00"/>
    <s v="P002"/>
    <n v="2"/>
    <x v="0"/>
    <x v="2"/>
    <s v="USB-C Cable"/>
    <x v="0"/>
    <n v="12.5"/>
    <n v="25"/>
    <s v="OK"/>
  </r>
  <r>
    <s v="O1019"/>
    <d v="2026-02-08T00:00:00"/>
    <s v="P002"/>
    <n v="2"/>
    <x v="1"/>
    <x v="0"/>
    <s v="USB-C Cable"/>
    <x v="0"/>
    <n v="12.5"/>
    <n v="25"/>
    <s v="OK"/>
  </r>
  <r>
    <s v="O1035"/>
    <d v="2026-01-15T00:00:00"/>
    <s v="P002"/>
    <n v="6"/>
    <x v="2"/>
    <x v="1"/>
    <s v="USB-C Cable"/>
    <x v="0"/>
    <n v="12.5"/>
    <n v="75"/>
    <s v="OK"/>
  </r>
  <r>
    <s v="O1002"/>
    <d v="2026-02-02T00:00:00"/>
    <s v="P003"/>
    <n v="6"/>
    <x v="0"/>
    <x v="3"/>
    <s v="Bluetooth Speaker"/>
    <x v="0"/>
    <n v="45"/>
    <n v="270"/>
    <s v="Reorder Now"/>
  </r>
  <r>
    <s v="O1021"/>
    <d v="2026-02-07T00:00:00"/>
    <s v="P003"/>
    <n v="2"/>
    <x v="1"/>
    <x v="3"/>
    <s v="Bluetooth Speaker"/>
    <x v="0"/>
    <n v="45"/>
    <n v="90"/>
    <s v="Reorder Now"/>
  </r>
  <r>
    <s v="O1023"/>
    <d v="2026-02-02T00:00:00"/>
    <s v="P003"/>
    <n v="5"/>
    <x v="2"/>
    <x v="1"/>
    <s v="Bluetooth Speaker"/>
    <x v="0"/>
    <n v="45"/>
    <n v="225"/>
    <s v="Reorder Now"/>
  </r>
  <r>
    <s v="O1037"/>
    <d v="2026-03-16T00:00:00"/>
    <s v="P003"/>
    <n v="3"/>
    <x v="2"/>
    <x v="0"/>
    <s v="Bluetooth Speaker"/>
    <x v="0"/>
    <n v="45"/>
    <n v="135"/>
    <s v="Reorder Now"/>
  </r>
  <r>
    <s v="O1045"/>
    <d v="2026-03-15T00:00:00"/>
    <s v="P003"/>
    <n v="6"/>
    <x v="2"/>
    <x v="0"/>
    <s v="Bluetooth Speaker"/>
    <x v="0"/>
    <n v="45"/>
    <n v="270"/>
    <s v="Reorder Now"/>
  </r>
  <r>
    <s v="O1051"/>
    <d v="2026-02-28T00:00:00"/>
    <s v="P003"/>
    <n v="3"/>
    <x v="2"/>
    <x v="0"/>
    <s v="Bluetooth Speaker"/>
    <x v="0"/>
    <n v="45"/>
    <n v="135"/>
    <s v="Reorder Now"/>
  </r>
  <r>
    <s v="O1004"/>
    <d v="2026-01-16T00:00:00"/>
    <s v="P004"/>
    <n v="2"/>
    <x v="0"/>
    <x v="3"/>
    <s v="Laptop Stand"/>
    <x v="1"/>
    <n v="35"/>
    <n v="70"/>
    <s v="OK"/>
  </r>
  <r>
    <s v="O1018"/>
    <d v="2026-01-12T00:00:00"/>
    <s v="P004"/>
    <n v="1"/>
    <x v="1"/>
    <x v="2"/>
    <s v="Laptop Stand"/>
    <x v="1"/>
    <n v="35"/>
    <n v="35"/>
    <s v="OK"/>
  </r>
  <r>
    <s v="O1034"/>
    <d v="2026-02-13T00:00:00"/>
    <s v="P004"/>
    <n v="1"/>
    <x v="3"/>
    <x v="3"/>
    <s v="Laptop Stand"/>
    <x v="1"/>
    <n v="35"/>
    <n v="35"/>
    <s v="OK"/>
  </r>
  <r>
    <s v="O1044"/>
    <d v="2026-03-11T00:00:00"/>
    <s v="P004"/>
    <n v="3"/>
    <x v="2"/>
    <x v="0"/>
    <s v="Laptop Stand"/>
    <x v="1"/>
    <n v="35"/>
    <n v="105"/>
    <s v="OK"/>
  </r>
  <r>
    <s v="O1050"/>
    <d v="2026-02-05T00:00:00"/>
    <s v="P004"/>
    <n v="2"/>
    <x v="2"/>
    <x v="0"/>
    <s v="Laptop Stand"/>
    <x v="1"/>
    <n v="35"/>
    <n v="70"/>
    <s v="OK"/>
  </r>
  <r>
    <s v="O1011"/>
    <d v="2026-03-16T00:00:00"/>
    <s v="P005"/>
    <n v="6"/>
    <x v="1"/>
    <x v="3"/>
    <s v="Mechanical Keyboard"/>
    <x v="0"/>
    <n v="89.99"/>
    <n v="539.93999999999994"/>
    <s v="Reorder Now"/>
  </r>
  <r>
    <s v="O1058"/>
    <d v="2026-01-29T00:00:00"/>
    <s v="P005"/>
    <n v="2"/>
    <x v="0"/>
    <x v="3"/>
    <s v="Mechanical Keyboard"/>
    <x v="0"/>
    <n v="89.99"/>
    <n v="179.98"/>
    <s v="Reorder Now"/>
  </r>
  <r>
    <s v="O1007"/>
    <d v="2026-02-28T00:00:00"/>
    <s v="P006"/>
    <n v="3"/>
    <x v="3"/>
    <x v="0"/>
    <s v="Notebook Set"/>
    <x v="2"/>
    <n v="8.5"/>
    <n v="25.5"/>
    <s v="OK"/>
  </r>
  <r>
    <s v="O1015"/>
    <d v="2026-02-21T00:00:00"/>
    <s v="P006"/>
    <n v="2"/>
    <x v="1"/>
    <x v="1"/>
    <s v="Notebook Set"/>
    <x v="2"/>
    <n v="8.5"/>
    <n v="17"/>
    <s v="OK"/>
  </r>
  <r>
    <s v="O1041"/>
    <d v="2026-01-13T00:00:00"/>
    <s v="P006"/>
    <n v="1"/>
    <x v="3"/>
    <x v="3"/>
    <s v="Notebook Set"/>
    <x v="2"/>
    <n v="8.5"/>
    <n v="8.5"/>
    <s v="OK"/>
  </r>
  <r>
    <s v="O1017"/>
    <d v="2026-03-05T00:00:00"/>
    <s v="P007"/>
    <n v="3"/>
    <x v="3"/>
    <x v="4"/>
    <s v="Gel Pens (Pack of 10)"/>
    <x v="2"/>
    <n v="6.25"/>
    <n v="18.75"/>
    <s v="Reorder Now"/>
  </r>
  <r>
    <s v="O1029"/>
    <d v="2026-02-11T00:00:00"/>
    <s v="P007"/>
    <n v="2"/>
    <x v="2"/>
    <x v="1"/>
    <s v="Gel Pens (Pack of 10)"/>
    <x v="2"/>
    <n v="6.25"/>
    <n v="12.5"/>
    <s v="Reorder Now"/>
  </r>
  <r>
    <s v="O1049"/>
    <d v="2026-01-12T00:00:00"/>
    <s v="P007"/>
    <n v="6"/>
    <x v="1"/>
    <x v="1"/>
    <s v="Gel Pens (Pack of 10)"/>
    <x v="2"/>
    <n v="6.25"/>
    <n v="37.5"/>
    <s v="Reorder Now"/>
  </r>
  <r>
    <s v="O1054"/>
    <d v="2026-01-26T00:00:00"/>
    <s v="P007"/>
    <n v="4"/>
    <x v="2"/>
    <x v="0"/>
    <s v="Gel Pens (Pack of 10)"/>
    <x v="2"/>
    <n v="6.25"/>
    <n v="25"/>
    <s v="Reorder Now"/>
  </r>
  <r>
    <s v="O1056"/>
    <d v="2026-01-05T00:00:00"/>
    <s v="P007"/>
    <n v="3"/>
    <x v="2"/>
    <x v="4"/>
    <s v="Gel Pens (Pack of 10)"/>
    <x v="2"/>
    <n v="6.25"/>
    <n v="18.75"/>
    <s v="Reorder Now"/>
  </r>
  <r>
    <s v="O1014"/>
    <d v="2026-02-09T00:00:00"/>
    <s v="P008"/>
    <n v="6"/>
    <x v="1"/>
    <x v="0"/>
    <s v="Sticky Notes"/>
    <x v="2"/>
    <n v="3.75"/>
    <n v="22.5"/>
    <s v="OK"/>
  </r>
  <r>
    <s v="O1020"/>
    <d v="2026-03-29T00:00:00"/>
    <s v="P008"/>
    <n v="4"/>
    <x v="2"/>
    <x v="0"/>
    <s v="Sticky Notes"/>
    <x v="2"/>
    <n v="3.75"/>
    <n v="15"/>
    <s v="OK"/>
  </r>
  <r>
    <s v="O1026"/>
    <d v="2026-03-22T00:00:00"/>
    <s v="P008"/>
    <n v="5"/>
    <x v="1"/>
    <x v="3"/>
    <s v="Sticky Notes"/>
    <x v="2"/>
    <n v="3.75"/>
    <n v="18.75"/>
    <s v="OK"/>
  </r>
  <r>
    <s v="O1033"/>
    <d v="2026-02-15T00:00:00"/>
    <s v="P008"/>
    <n v="1"/>
    <x v="0"/>
    <x v="4"/>
    <s v="Sticky Notes"/>
    <x v="2"/>
    <n v="3.75"/>
    <n v="3.75"/>
    <s v="OK"/>
  </r>
  <r>
    <s v="O1040"/>
    <d v="2026-03-12T00:00:00"/>
    <s v="P008"/>
    <n v="1"/>
    <x v="3"/>
    <x v="0"/>
    <s v="Sticky Notes"/>
    <x v="2"/>
    <n v="3.75"/>
    <n v="3.75"/>
    <s v="OK"/>
  </r>
  <r>
    <s v="O1048"/>
    <d v="2026-02-26T00:00:00"/>
    <s v="P008"/>
    <n v="6"/>
    <x v="0"/>
    <x v="1"/>
    <s v="Sticky Notes"/>
    <x v="2"/>
    <n v="3.75"/>
    <n v="22.5"/>
    <s v="OK"/>
  </r>
  <r>
    <s v="O1052"/>
    <d v="2026-01-14T00:00:00"/>
    <s v="P008"/>
    <n v="5"/>
    <x v="0"/>
    <x v="1"/>
    <s v="Sticky Notes"/>
    <x v="2"/>
    <n v="3.75"/>
    <n v="18.75"/>
    <s v="OK"/>
  </r>
  <r>
    <s v="O1010"/>
    <d v="2026-03-04T00:00:00"/>
    <s v="P009"/>
    <n v="1"/>
    <x v="2"/>
    <x v="1"/>
    <s v="Desk Organizer"/>
    <x v="3"/>
    <n v="22"/>
    <n v="22"/>
    <s v="OK"/>
  </r>
  <r>
    <s v="O1030"/>
    <d v="2026-02-07T00:00:00"/>
    <s v="P009"/>
    <n v="2"/>
    <x v="0"/>
    <x v="4"/>
    <s v="Desk Organizer"/>
    <x v="3"/>
    <n v="22"/>
    <n v="44"/>
    <s v="OK"/>
  </r>
  <r>
    <s v="O1031"/>
    <d v="2026-03-27T00:00:00"/>
    <s v="P009"/>
    <n v="5"/>
    <x v="3"/>
    <x v="0"/>
    <s v="Desk Organizer"/>
    <x v="3"/>
    <n v="22"/>
    <n v="110"/>
    <s v="OK"/>
  </r>
  <r>
    <s v="O1053"/>
    <d v="2026-03-29T00:00:00"/>
    <s v="P009"/>
    <n v="1"/>
    <x v="0"/>
    <x v="0"/>
    <s v="Desk Organizer"/>
    <x v="3"/>
    <n v="22"/>
    <n v="22"/>
    <s v="OK"/>
  </r>
  <r>
    <s v="O1003"/>
    <d v="2026-01-16T00:00:00"/>
    <s v="P010"/>
    <n v="4"/>
    <x v="0"/>
    <x v="1"/>
    <s v="Office Chair"/>
    <x v="3"/>
    <n v="145"/>
    <n v="580"/>
    <s v="Reorder Now"/>
  </r>
  <r>
    <s v="O1006"/>
    <d v="2026-03-03T00:00:00"/>
    <s v="P010"/>
    <n v="3"/>
    <x v="0"/>
    <x v="0"/>
    <s v="Office Chair"/>
    <x v="3"/>
    <n v="145"/>
    <n v="435"/>
    <s v="Reorder Now"/>
  </r>
  <r>
    <s v="O1025"/>
    <d v="2026-02-28T00:00:00"/>
    <s v="P010"/>
    <n v="1"/>
    <x v="2"/>
    <x v="2"/>
    <s v="Office Chair"/>
    <x v="3"/>
    <n v="145"/>
    <n v="145"/>
    <s v="Reorder Now"/>
  </r>
  <r>
    <s v="O1060"/>
    <d v="2026-01-11T00:00:00"/>
    <s v="P010"/>
    <n v="4"/>
    <x v="3"/>
    <x v="1"/>
    <s v="Office Chair"/>
    <x v="3"/>
    <n v="145"/>
    <n v="580"/>
    <s v="Reorder Now"/>
  </r>
  <r>
    <s v="O1016"/>
    <d v="2026-03-23T00:00:00"/>
    <s v="P011"/>
    <n v="2"/>
    <x v="3"/>
    <x v="0"/>
    <s v="Standing Desk"/>
    <x v="3"/>
    <n v="299"/>
    <n v="598"/>
    <s v="Reorder Now"/>
  </r>
  <r>
    <s v="O1027"/>
    <d v="2026-01-06T00:00:00"/>
    <s v="P011"/>
    <n v="6"/>
    <x v="0"/>
    <x v="3"/>
    <s v="Standing Desk"/>
    <x v="3"/>
    <n v="299"/>
    <n v="1794"/>
    <s v="Reorder Now"/>
  </r>
  <r>
    <s v="O1039"/>
    <d v="2026-02-25T00:00:00"/>
    <s v="P011"/>
    <n v="6"/>
    <x v="1"/>
    <x v="2"/>
    <s v="Standing Desk"/>
    <x v="3"/>
    <n v="299"/>
    <n v="1794"/>
    <s v="Reorder Now"/>
  </r>
  <r>
    <s v="O1047"/>
    <d v="2026-01-17T00:00:00"/>
    <s v="P011"/>
    <n v="4"/>
    <x v="1"/>
    <x v="2"/>
    <s v="Standing Desk"/>
    <x v="3"/>
    <n v="299"/>
    <n v="1196"/>
    <s v="Reorder Now"/>
  </r>
  <r>
    <s v="O1005"/>
    <d v="2026-01-30T00:00:00"/>
    <s v="P012"/>
    <n v="6"/>
    <x v="2"/>
    <x v="0"/>
    <s v="Webcam HD"/>
    <x v="0"/>
    <n v="55"/>
    <n v="330"/>
    <s v="Reorder Now"/>
  </r>
  <r>
    <s v="O1012"/>
    <d v="2026-01-29T00:00:00"/>
    <s v="P012"/>
    <n v="1"/>
    <x v="0"/>
    <x v="0"/>
    <s v="Webcam HD"/>
    <x v="0"/>
    <n v="55"/>
    <n v="55"/>
    <s v="Reorder Now"/>
  </r>
  <r>
    <s v="O1057"/>
    <d v="2026-02-28T00:00:00"/>
    <s v="P012"/>
    <n v="6"/>
    <x v="2"/>
    <x v="0"/>
    <s v="Webcam HD"/>
    <x v="0"/>
    <n v="55"/>
    <n v="330"/>
    <s v="Reorder Now"/>
  </r>
  <r>
    <s v="O1028"/>
    <d v="2026-02-08T00:00:00"/>
    <s v="P013"/>
    <n v="6"/>
    <x v="1"/>
    <x v="1"/>
    <s v="Phone Case"/>
    <x v="1"/>
    <n v="15.99"/>
    <n v="95.94"/>
    <s v="OK"/>
  </r>
  <r>
    <s v="O1032"/>
    <d v="2026-02-21T00:00:00"/>
    <s v="P013"/>
    <n v="2"/>
    <x v="0"/>
    <x v="3"/>
    <s v="Phone Case"/>
    <x v="1"/>
    <n v="15.99"/>
    <n v="31.98"/>
    <s v="OK"/>
  </r>
  <r>
    <s v="O1036"/>
    <d v="2026-03-14T00:00:00"/>
    <s v="P013"/>
    <n v="2"/>
    <x v="3"/>
    <x v="2"/>
    <s v="Phone Case"/>
    <x v="1"/>
    <n v="15.99"/>
    <n v="31.98"/>
    <s v="OK"/>
  </r>
  <r>
    <s v="O1038"/>
    <d v="2026-03-15T00:00:00"/>
    <s v="P013"/>
    <n v="6"/>
    <x v="3"/>
    <x v="4"/>
    <s v="Phone Case"/>
    <x v="1"/>
    <n v="15.99"/>
    <n v="95.94"/>
    <s v="OK"/>
  </r>
  <r>
    <s v="O1046"/>
    <d v="2026-03-06T00:00:00"/>
    <s v="P013"/>
    <n v="4"/>
    <x v="3"/>
    <x v="1"/>
    <s v="Phone Case"/>
    <x v="1"/>
    <n v="15.99"/>
    <n v="63.96"/>
    <s v="OK"/>
  </r>
  <r>
    <s v="O1009"/>
    <d v="2026-02-19T00:00:00"/>
    <s v="P014"/>
    <n v="3"/>
    <x v="1"/>
    <x v="1"/>
    <s v="Laptop Bag"/>
    <x v="1"/>
    <n v="42.5"/>
    <n v="127.5"/>
    <s v="Reorder Now"/>
  </r>
  <r>
    <s v="O1024"/>
    <d v="2026-01-11T00:00:00"/>
    <s v="P014"/>
    <n v="1"/>
    <x v="3"/>
    <x v="0"/>
    <s v="Laptop Bag"/>
    <x v="1"/>
    <n v="42.5"/>
    <n v="42.5"/>
    <s v="Reorder Now"/>
  </r>
  <r>
    <s v="O1022"/>
    <d v="2026-02-28T00:00:00"/>
    <s v="P015"/>
    <n v="5"/>
    <x v="2"/>
    <x v="4"/>
    <s v="Monitor 24-inch"/>
    <x v="0"/>
    <n v="159.99"/>
    <n v="799.95"/>
    <s v="Reorder Now"/>
  </r>
  <r>
    <s v="O1043"/>
    <d v="2026-01-13T00:00:00"/>
    <s v="P015"/>
    <n v="1"/>
    <x v="1"/>
    <x v="1"/>
    <s v="Monitor 24-inch"/>
    <x v="0"/>
    <n v="159.99"/>
    <n v="159.99"/>
    <s v="Reorder Now"/>
  </r>
  <r>
    <s v="O1055"/>
    <d v="2026-02-25T00:00:00"/>
    <s v="P015"/>
    <n v="1"/>
    <x v="3"/>
    <x v="2"/>
    <s v="Monitor 24-inch"/>
    <x v="0"/>
    <n v="159.99"/>
    <n v="159.99"/>
    <s v="Reorder N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32A76-37E3-4765-8C9A-57C936D97E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F9" firstHeaderRow="1" firstDataRow="2" firstDataCol="1" rowPageCount="1" colPageCount="1"/>
  <pivotFields count="11">
    <pivotField showAll="0"/>
    <pivotField numFmtId="14" showAll="0"/>
    <pivotField showAll="0"/>
    <pivotField showAll="0"/>
    <pivotField axis="axisCol" showAll="0">
      <items count="5">
        <item x="1"/>
        <item x="0"/>
        <item x="3"/>
        <item x="2"/>
        <item t="default"/>
      </items>
    </pivotField>
    <pivotField axis="axisPage" showAll="0">
      <items count="6">
        <item x="1"/>
        <item x="2"/>
        <item x="4"/>
        <item x="3"/>
        <item x="0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5" hier="-1"/>
  </pageFields>
  <dataFields count="1">
    <dataField name="Sum of TotalSales" fld="9" baseField="0" baseItem="0"/>
  </dataFields>
  <chartFormats count="4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7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0"/>
          </reference>
        </references>
      </pivotArea>
    </chartFormat>
    <chartFormat chart="17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"/>
          </reference>
        </references>
      </pivotArea>
    </chartFormat>
    <chartFormat chart="17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"/>
          </reference>
        </references>
      </pivotArea>
    </chartFormat>
    <chartFormat chart="17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3"/>
          </reference>
        </references>
      </pivotArea>
    </chartFormat>
    <chartFormat chart="17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0"/>
          </reference>
        </references>
      </pivotArea>
    </chartFormat>
    <chartFormat chart="17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1"/>
          </reference>
        </references>
      </pivotArea>
    </chartFormat>
    <chartFormat chart="17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2"/>
          </reference>
        </references>
      </pivotArea>
    </chartFormat>
    <chartFormat chart="17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3"/>
          </reference>
        </references>
      </pivotArea>
    </chartFormat>
    <chartFormat chart="17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0"/>
          </reference>
        </references>
      </pivotArea>
    </chartFormat>
    <chartFormat chart="17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1"/>
          </reference>
        </references>
      </pivotArea>
    </chartFormat>
    <chartFormat chart="17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2"/>
          </reference>
        </references>
      </pivotArea>
    </chartFormat>
    <chartFormat chart="17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3"/>
          </reference>
        </references>
      </pivotArea>
    </chartFormat>
    <chartFormat chart="17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0"/>
          </reference>
        </references>
      </pivotArea>
    </chartFormat>
    <chartFormat chart="17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1"/>
          </reference>
        </references>
      </pivotArea>
    </chartFormat>
    <chartFormat chart="17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2"/>
          </reference>
        </references>
      </pivotArea>
    </chartFormat>
    <chartFormat chart="17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3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2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2" format="4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0"/>
          </reference>
        </references>
      </pivotArea>
    </chartFormat>
    <chartFormat chart="22" format="4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"/>
          </reference>
        </references>
      </pivotArea>
    </chartFormat>
    <chartFormat chart="22" format="4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"/>
          </reference>
        </references>
      </pivotArea>
    </chartFormat>
    <chartFormat chart="22" format="4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3"/>
          </reference>
        </references>
      </pivotArea>
    </chartFormat>
    <chartFormat chart="22" format="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2" format="4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0"/>
          </reference>
        </references>
      </pivotArea>
    </chartFormat>
    <chartFormat chart="22" format="4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1"/>
          </reference>
        </references>
      </pivotArea>
    </chartFormat>
    <chartFormat chart="22" format="4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2"/>
          </reference>
        </references>
      </pivotArea>
    </chartFormat>
    <chartFormat chart="22" format="4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3"/>
          </reference>
        </references>
      </pivotArea>
    </chartFormat>
    <chartFormat chart="22" format="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2" format="5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0"/>
          </reference>
        </references>
      </pivotArea>
    </chartFormat>
    <chartFormat chart="22" format="5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1"/>
          </reference>
        </references>
      </pivotArea>
    </chartFormat>
    <chartFormat chart="22" format="53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2"/>
          </reference>
        </references>
      </pivotArea>
    </chartFormat>
    <chartFormat chart="22" format="5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3"/>
          </reference>
        </references>
      </pivotArea>
    </chartFormat>
    <chartFormat chart="22" format="5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2" format="56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0"/>
          </reference>
        </references>
      </pivotArea>
    </chartFormat>
    <chartFormat chart="22" format="5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1"/>
          </reference>
        </references>
      </pivotArea>
    </chartFormat>
    <chartFormat chart="22" format="58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2"/>
          </reference>
        </references>
      </pivotArea>
    </chartFormat>
    <chartFormat chart="22" format="5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53E384-E008-479E-B71E-7DC16973F6B9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Category" tableColumnId="3"/>
      <queryTableField id="4" name="UnitPrice" tableColumnId="4"/>
      <queryTableField id="5" name="ReorderLevel" tableColumnId="5"/>
      <queryTableField id="6" name="CurrentStock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DEAE27A-1FB2-4492-B99B-AB13CC62F2A8}" autoFormatId="16" applyNumberFormats="0" applyBorderFormats="0" applyFontFormats="0" applyPatternFormats="0" applyAlignmentFormats="0" applyWidthHeightFormats="0">
  <queryTableRefresh nextId="13" unboundColumnsRight="5">
    <queryTableFields count="11">
      <queryTableField id="1" name="OrderID" tableColumnId="1"/>
      <queryTableField id="2" name="OrderDate" tableColumnId="2"/>
      <queryTableField id="3" name="ProductID" tableColumnId="3"/>
      <queryTableField id="4" name="Quantity" tableColumnId="4"/>
      <queryTableField id="5" name="Region" tableColumnId="5"/>
      <queryTableField id="6" name="SalesRep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3438B-217E-4BE0-B396-13D9680F426A}" name="Product_Lookup" displayName="Product_Lookup" ref="A1:F16" tableType="queryTable" totalsRowShown="0">
  <autoFilter ref="A1:F16" xr:uid="{E093438B-217E-4BE0-B396-13D9680F426A}"/>
  <tableColumns count="6">
    <tableColumn id="1" xr3:uid="{A977A66F-BD60-476D-A5A5-ACFE6CD66FC4}" uniqueName="1" name="ProductID" queryTableFieldId="1" dataDxfId="12"/>
    <tableColumn id="2" xr3:uid="{D5531DC2-6983-4178-A7C9-CB10BA2C2FB2}" uniqueName="2" name="ProductName" queryTableFieldId="2" dataDxfId="11"/>
    <tableColumn id="3" xr3:uid="{A2D2F939-7BD9-4918-A2BD-C3A27A597E8E}" uniqueName="3" name="Category" queryTableFieldId="3" dataDxfId="10"/>
    <tableColumn id="4" xr3:uid="{3BE31799-CEBB-46B2-BD12-F07B1865A552}" uniqueName="4" name="UnitPrice" queryTableFieldId="4"/>
    <tableColumn id="5" xr3:uid="{7E7285FC-79A8-4018-9F5D-BEF7EDA6740C}" uniqueName="5" name="ReorderLevel" queryTableFieldId="5"/>
    <tableColumn id="6" xr3:uid="{A0389110-CE49-4730-AF15-F9C86A8D968C}" uniqueName="6" name="CurrentStock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E406F2-7855-438B-B5B5-893E39D95EDD}" name="Sales_Data" displayName="Sales_Data" ref="A1:K65" tableType="queryTable" totalsRowShown="0">
  <autoFilter ref="A1:K65" xr:uid="{70E406F2-7855-438B-B5B5-893E39D95EDD}"/>
  <sortState xmlns:xlrd2="http://schemas.microsoft.com/office/spreadsheetml/2017/richdata2" ref="A2:K61">
    <sortCondition ref="C1:C61"/>
  </sortState>
  <tableColumns count="11">
    <tableColumn id="1" xr3:uid="{A7D3C25A-B091-436E-ABBC-F8CF56DC8F92}" uniqueName="1" name="OrderID" queryTableFieldId="1" dataDxfId="9"/>
    <tableColumn id="2" xr3:uid="{C9CE0C2F-FA01-438E-AAF8-0CF960B3C3CB}" uniqueName="2" name="OrderDate" queryTableFieldId="2" dataDxfId="8"/>
    <tableColumn id="3" xr3:uid="{9B5B82AD-B4AF-439E-865F-B3A1ACD77591}" uniqueName="3" name="ProductID" queryTableFieldId="3" dataDxfId="7"/>
    <tableColumn id="4" xr3:uid="{63151A81-6AC3-457C-9F2D-5E62621C014A}" uniqueName="4" name="Quantity" queryTableFieldId="4"/>
    <tableColumn id="5" xr3:uid="{561B7224-0628-4B68-9878-7CCCAAAF0B07}" uniqueName="5" name="Region" queryTableFieldId="5" dataDxfId="6"/>
    <tableColumn id="6" xr3:uid="{E529992E-456F-446C-8DB8-956C8D62FAAD}" uniqueName="6" name="SalesRep" queryTableFieldId="6" dataDxfId="5"/>
    <tableColumn id="7" xr3:uid="{BE8DE704-20A7-4EF4-A50D-86E5DB907F77}" uniqueName="7" name="ProductName" queryTableFieldId="7" dataDxfId="4">
      <calculatedColumnFormula>VLOOKUP(C2,'Product_Lookup '!$A$2:$F$16,2,FALSE)</calculatedColumnFormula>
    </tableColumn>
    <tableColumn id="8" xr3:uid="{49523215-D3E3-4962-9EDF-F5FD2C4CA637}" uniqueName="8" name="category" queryTableFieldId="8" dataDxfId="3">
      <calculatedColumnFormula>VLOOKUP(C2,'Product_Lookup '!$A$2:$F$16,3,FALSE)</calculatedColumnFormula>
    </tableColumn>
    <tableColumn id="9" xr3:uid="{A2CA8F3A-4D85-4B33-B54C-559CB33E0D4C}" uniqueName="9" name="UnitPrice" queryTableFieldId="9" dataDxfId="2">
      <calculatedColumnFormula>VLOOKUP(C2,'Product_Lookup '!$A$2:$F$16,4,FALSE)</calculatedColumnFormula>
    </tableColumn>
    <tableColumn id="10" xr3:uid="{72DDD5A9-29C3-4A6B-9464-F326AE99D7C1}" uniqueName="10" name="TotalSales" queryTableFieldId="10" dataDxfId="1">
      <calculatedColumnFormula>I2*D2</calculatedColumnFormula>
    </tableColumn>
    <tableColumn id="11" xr3:uid="{5F128FC1-3AB6-42EB-A1C2-954E49A3B5F7}" uniqueName="11" name="StockStatus" queryTableFieldId="11" dataDxfId="0">
      <calculatedColumnFormula>IF(VLOOKUP(C2,'Product_Lookup '!$A$2:$F$16,6,FALSE)&lt;VLOOKUP(C2,'Product_Lookup '!$A$2:$F$16,5,FALSE),"Reorder Now","OK")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864B-C82D-4666-B9C9-B2D6C4F429CC}">
  <sheetPr>
    <tabColor rgb="FF002060"/>
  </sheetPr>
  <dimension ref="A2:B57"/>
  <sheetViews>
    <sheetView tabSelected="1" zoomScale="71" workbookViewId="0">
      <selection activeCell="E13" sqref="E13"/>
    </sheetView>
  </sheetViews>
  <sheetFormatPr defaultRowHeight="14.4" x14ac:dyDescent="0.3"/>
  <sheetData>
    <row r="2" spans="1:2" ht="23.4" x14ac:dyDescent="0.45">
      <c r="A2" s="9" t="s">
        <v>136</v>
      </c>
    </row>
    <row r="4" spans="1:2" ht="15.6" x14ac:dyDescent="0.3">
      <c r="A4" s="10" t="s">
        <v>137</v>
      </c>
    </row>
    <row r="5" spans="1:2" x14ac:dyDescent="0.3">
      <c r="A5" s="11"/>
      <c r="B5" s="11"/>
    </row>
    <row r="6" spans="1:2" x14ac:dyDescent="0.3">
      <c r="A6" s="12" t="s">
        <v>138</v>
      </c>
    </row>
    <row r="7" spans="1:2" x14ac:dyDescent="0.3">
      <c r="A7" s="12" t="s">
        <v>139</v>
      </c>
    </row>
    <row r="8" spans="1:2" x14ac:dyDescent="0.3">
      <c r="A8" s="12"/>
    </row>
    <row r="9" spans="1:2" x14ac:dyDescent="0.3">
      <c r="A9" s="12" t="s">
        <v>140</v>
      </c>
    </row>
    <row r="10" spans="1:2" x14ac:dyDescent="0.3">
      <c r="A10" s="12" t="s">
        <v>141</v>
      </c>
    </row>
    <row r="11" spans="1:2" x14ac:dyDescent="0.3">
      <c r="A11" s="12" t="s">
        <v>142</v>
      </c>
    </row>
    <row r="13" spans="1:2" ht="15.6" x14ac:dyDescent="0.3">
      <c r="A13" s="10" t="s">
        <v>143</v>
      </c>
    </row>
    <row r="14" spans="1:2" x14ac:dyDescent="0.3">
      <c r="A14" s="11"/>
      <c r="B14" s="11"/>
    </row>
    <row r="15" spans="1:2" x14ac:dyDescent="0.3">
      <c r="A15" s="13" t="s">
        <v>144</v>
      </c>
      <c r="B15" s="12" t="s">
        <v>145</v>
      </c>
    </row>
    <row r="16" spans="1:2" x14ac:dyDescent="0.3">
      <c r="A16" s="13" t="s">
        <v>146</v>
      </c>
      <c r="B16" s="12" t="s">
        <v>147</v>
      </c>
    </row>
    <row r="17" spans="1:2" x14ac:dyDescent="0.3">
      <c r="A17" s="13" t="s">
        <v>148</v>
      </c>
      <c r="B17" s="12" t="s">
        <v>149</v>
      </c>
    </row>
    <row r="18" spans="1:2" x14ac:dyDescent="0.3">
      <c r="A18" s="13" t="s">
        <v>150</v>
      </c>
      <c r="B18" s="12" t="s">
        <v>151</v>
      </c>
    </row>
    <row r="19" spans="1:2" x14ac:dyDescent="0.3">
      <c r="A19" s="13" t="s">
        <v>152</v>
      </c>
      <c r="B19" s="12" t="s">
        <v>153</v>
      </c>
    </row>
    <row r="21" spans="1:2" ht="15.6" x14ac:dyDescent="0.3">
      <c r="A21" s="10" t="s">
        <v>154</v>
      </c>
    </row>
    <row r="22" spans="1:2" x14ac:dyDescent="0.3">
      <c r="A22" s="11"/>
      <c r="B22" s="11"/>
    </row>
    <row r="23" spans="1:2" x14ac:dyDescent="0.3">
      <c r="A23" s="14" t="s">
        <v>155</v>
      </c>
      <c r="B23" s="12" t="s">
        <v>156</v>
      </c>
    </row>
    <row r="24" spans="1:2" x14ac:dyDescent="0.3">
      <c r="A24" s="14" t="s">
        <v>157</v>
      </c>
      <c r="B24" s="12" t="s">
        <v>158</v>
      </c>
    </row>
    <row r="25" spans="1:2" x14ac:dyDescent="0.3">
      <c r="A25" s="14" t="s">
        <v>159</v>
      </c>
      <c r="B25" s="12" t="s">
        <v>160</v>
      </c>
    </row>
    <row r="26" spans="1:2" x14ac:dyDescent="0.3">
      <c r="A26" s="14" t="s">
        <v>161</v>
      </c>
      <c r="B26" s="12" t="s">
        <v>162</v>
      </c>
    </row>
    <row r="27" spans="1:2" x14ac:dyDescent="0.3">
      <c r="A27" s="14" t="s">
        <v>163</v>
      </c>
      <c r="B27" s="12" t="s">
        <v>164</v>
      </c>
    </row>
    <row r="28" spans="1:2" x14ac:dyDescent="0.3">
      <c r="A28" s="14" t="s">
        <v>165</v>
      </c>
      <c r="B28" s="12" t="s">
        <v>166</v>
      </c>
    </row>
    <row r="29" spans="1:2" x14ac:dyDescent="0.3">
      <c r="A29" s="14" t="s">
        <v>167</v>
      </c>
      <c r="B29" s="12" t="s">
        <v>168</v>
      </c>
    </row>
    <row r="30" spans="1:2" x14ac:dyDescent="0.3">
      <c r="A30" s="14" t="s">
        <v>169</v>
      </c>
      <c r="B30" s="12" t="s">
        <v>170</v>
      </c>
    </row>
    <row r="31" spans="1:2" x14ac:dyDescent="0.3">
      <c r="A31" s="14" t="s">
        <v>171</v>
      </c>
      <c r="B31" s="12" t="s">
        <v>172</v>
      </c>
    </row>
    <row r="32" spans="1:2" x14ac:dyDescent="0.3">
      <c r="A32" s="14" t="s">
        <v>173</v>
      </c>
      <c r="B32" s="12" t="s">
        <v>174</v>
      </c>
    </row>
    <row r="34" spans="1:2" ht="15.6" x14ac:dyDescent="0.3">
      <c r="A34" s="10" t="s">
        <v>175</v>
      </c>
    </row>
    <row r="35" spans="1:2" x14ac:dyDescent="0.3">
      <c r="A35" s="11"/>
      <c r="B35" s="11"/>
    </row>
    <row r="36" spans="1:2" x14ac:dyDescent="0.3">
      <c r="A36" s="15" t="s">
        <v>176</v>
      </c>
      <c r="B36" s="16" t="s">
        <v>177</v>
      </c>
    </row>
    <row r="37" spans="1:2" x14ac:dyDescent="0.3">
      <c r="A37" s="15" t="s">
        <v>178</v>
      </c>
      <c r="B37" s="16" t="s">
        <v>179</v>
      </c>
    </row>
    <row r="38" spans="1:2" x14ac:dyDescent="0.3">
      <c r="A38" s="15" t="s">
        <v>180</v>
      </c>
      <c r="B38" s="16" t="s">
        <v>181</v>
      </c>
    </row>
    <row r="39" spans="1:2" x14ac:dyDescent="0.3">
      <c r="A39" s="15" t="s">
        <v>182</v>
      </c>
      <c r="B39" s="16" t="s">
        <v>183</v>
      </c>
    </row>
    <row r="40" spans="1:2" x14ac:dyDescent="0.3">
      <c r="A40" s="15" t="s">
        <v>184</v>
      </c>
      <c r="B40" s="16" t="s">
        <v>185</v>
      </c>
    </row>
    <row r="41" spans="1:2" x14ac:dyDescent="0.3">
      <c r="A41" s="15" t="s">
        <v>186</v>
      </c>
      <c r="B41" s="16" t="s">
        <v>187</v>
      </c>
    </row>
    <row r="43" spans="1:2" ht="15.6" x14ac:dyDescent="0.3">
      <c r="A43" s="10" t="s">
        <v>188</v>
      </c>
    </row>
    <row r="44" spans="1:2" x14ac:dyDescent="0.3">
      <c r="A44" s="11"/>
      <c r="B44" s="11"/>
    </row>
    <row r="45" spans="1:2" x14ac:dyDescent="0.3">
      <c r="A45" s="12" t="s">
        <v>189</v>
      </c>
    </row>
    <row r="46" spans="1:2" x14ac:dyDescent="0.3">
      <c r="A46" s="12" t="s">
        <v>190</v>
      </c>
    </row>
    <row r="47" spans="1:2" x14ac:dyDescent="0.3">
      <c r="A47" s="12" t="s">
        <v>191</v>
      </c>
    </row>
    <row r="48" spans="1:2" x14ac:dyDescent="0.3">
      <c r="A48" s="12" t="s">
        <v>192</v>
      </c>
    </row>
    <row r="49" spans="1:2" x14ac:dyDescent="0.3">
      <c r="A49" s="12" t="s">
        <v>193</v>
      </c>
    </row>
    <row r="50" spans="1:2" x14ac:dyDescent="0.3">
      <c r="A50" s="12" t="s">
        <v>194</v>
      </c>
    </row>
    <row r="51" spans="1:2" x14ac:dyDescent="0.3">
      <c r="A51" s="12" t="s">
        <v>195</v>
      </c>
    </row>
    <row r="52" spans="1:2" x14ac:dyDescent="0.3">
      <c r="A52" s="12" t="s">
        <v>196</v>
      </c>
    </row>
    <row r="53" spans="1:2" x14ac:dyDescent="0.3">
      <c r="A53" s="12" t="s">
        <v>197</v>
      </c>
    </row>
    <row r="54" spans="1:2" x14ac:dyDescent="0.3">
      <c r="A54" s="12" t="s">
        <v>198</v>
      </c>
    </row>
    <row r="56" spans="1:2" x14ac:dyDescent="0.3">
      <c r="A56" s="15" t="s">
        <v>199</v>
      </c>
      <c r="B56" s="17"/>
    </row>
    <row r="57" spans="1:2" x14ac:dyDescent="0.3">
      <c r="A57" s="15" t="s">
        <v>200</v>
      </c>
      <c r="B57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3698-0EA4-4071-A7D2-5247C0108129}">
  <sheetPr>
    <tabColor theme="5" tint="-0.249977111117893"/>
  </sheetPr>
  <dimension ref="A1:F16"/>
  <sheetViews>
    <sheetView workbookViewId="0">
      <selection activeCell="H13" sqref="H13"/>
    </sheetView>
  </sheetViews>
  <sheetFormatPr defaultRowHeight="14.4" x14ac:dyDescent="0.3"/>
  <cols>
    <col min="1" max="1" width="11.6640625" bestFit="1" customWidth="1"/>
    <col min="2" max="2" width="18.6640625" bestFit="1" customWidth="1"/>
    <col min="3" max="3" width="10.77734375" bestFit="1" customWidth="1"/>
    <col min="4" max="4" width="10.88671875" bestFit="1" customWidth="1"/>
    <col min="5" max="6" width="14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25.99</v>
      </c>
      <c r="E2">
        <v>20</v>
      </c>
      <c r="F2">
        <v>15</v>
      </c>
    </row>
    <row r="3" spans="1:6" x14ac:dyDescent="0.3">
      <c r="A3" t="s">
        <v>9</v>
      </c>
      <c r="B3" t="s">
        <v>10</v>
      </c>
      <c r="C3" t="s">
        <v>8</v>
      </c>
      <c r="D3">
        <v>12.5</v>
      </c>
      <c r="E3">
        <v>30</v>
      </c>
      <c r="F3">
        <v>45</v>
      </c>
    </row>
    <row r="4" spans="1:6" x14ac:dyDescent="0.3">
      <c r="A4" t="s">
        <v>11</v>
      </c>
      <c r="B4" t="s">
        <v>12</v>
      </c>
      <c r="C4" t="s">
        <v>8</v>
      </c>
      <c r="D4">
        <v>45</v>
      </c>
      <c r="E4">
        <v>15</v>
      </c>
      <c r="F4">
        <v>8</v>
      </c>
    </row>
    <row r="5" spans="1:6" x14ac:dyDescent="0.3">
      <c r="A5" t="s">
        <v>13</v>
      </c>
      <c r="B5" t="s">
        <v>14</v>
      </c>
      <c r="C5" t="s">
        <v>15</v>
      </c>
      <c r="D5">
        <v>35</v>
      </c>
      <c r="E5">
        <v>10</v>
      </c>
      <c r="F5">
        <v>12</v>
      </c>
    </row>
    <row r="6" spans="1:6" x14ac:dyDescent="0.3">
      <c r="A6" t="s">
        <v>16</v>
      </c>
      <c r="B6" t="s">
        <v>17</v>
      </c>
      <c r="C6" t="s">
        <v>8</v>
      </c>
      <c r="D6">
        <v>89.99</v>
      </c>
      <c r="E6">
        <v>10</v>
      </c>
      <c r="F6">
        <v>5</v>
      </c>
    </row>
    <row r="7" spans="1:6" x14ac:dyDescent="0.3">
      <c r="A7" t="s">
        <v>18</v>
      </c>
      <c r="B7" t="s">
        <v>19</v>
      </c>
      <c r="C7" t="s">
        <v>20</v>
      </c>
      <c r="D7">
        <v>8.5</v>
      </c>
      <c r="E7">
        <v>50</v>
      </c>
      <c r="F7">
        <v>60</v>
      </c>
    </row>
    <row r="8" spans="1:6" x14ac:dyDescent="0.3">
      <c r="A8" t="s">
        <v>21</v>
      </c>
      <c r="B8" t="s">
        <v>22</v>
      </c>
      <c r="C8" t="s">
        <v>20</v>
      </c>
      <c r="D8">
        <v>6.25</v>
      </c>
      <c r="E8">
        <v>40</v>
      </c>
      <c r="F8">
        <v>35</v>
      </c>
    </row>
    <row r="9" spans="1:6" x14ac:dyDescent="0.3">
      <c r="A9" t="s">
        <v>23</v>
      </c>
      <c r="B9" t="s">
        <v>24</v>
      </c>
      <c r="C9" t="s">
        <v>20</v>
      </c>
      <c r="D9">
        <v>3.75</v>
      </c>
      <c r="E9">
        <v>60</v>
      </c>
      <c r="F9">
        <v>70</v>
      </c>
    </row>
    <row r="10" spans="1:6" x14ac:dyDescent="0.3">
      <c r="A10" t="s">
        <v>25</v>
      </c>
      <c r="B10" t="s">
        <v>26</v>
      </c>
      <c r="C10" t="s">
        <v>27</v>
      </c>
      <c r="D10">
        <v>22</v>
      </c>
      <c r="E10">
        <v>15</v>
      </c>
      <c r="F10">
        <v>18</v>
      </c>
    </row>
    <row r="11" spans="1:6" x14ac:dyDescent="0.3">
      <c r="A11" t="s">
        <v>28</v>
      </c>
      <c r="B11" t="s">
        <v>29</v>
      </c>
      <c r="C11" t="s">
        <v>27</v>
      </c>
      <c r="D11">
        <v>145</v>
      </c>
      <c r="E11">
        <v>5</v>
      </c>
      <c r="F11">
        <v>3</v>
      </c>
    </row>
    <row r="12" spans="1:6" x14ac:dyDescent="0.3">
      <c r="A12" t="s">
        <v>30</v>
      </c>
      <c r="B12" t="s">
        <v>31</v>
      </c>
      <c r="C12" t="s">
        <v>27</v>
      </c>
      <c r="D12">
        <v>299</v>
      </c>
      <c r="E12">
        <v>4</v>
      </c>
      <c r="F12">
        <v>2</v>
      </c>
    </row>
    <row r="13" spans="1:6" x14ac:dyDescent="0.3">
      <c r="A13" t="s">
        <v>32</v>
      </c>
      <c r="B13" t="s">
        <v>33</v>
      </c>
      <c r="C13" t="s">
        <v>8</v>
      </c>
      <c r="D13">
        <v>55</v>
      </c>
      <c r="E13">
        <v>12</v>
      </c>
      <c r="F13">
        <v>9</v>
      </c>
    </row>
    <row r="14" spans="1:6" x14ac:dyDescent="0.3">
      <c r="A14" t="s">
        <v>34</v>
      </c>
      <c r="B14" t="s">
        <v>35</v>
      </c>
      <c r="C14" t="s">
        <v>15</v>
      </c>
      <c r="D14">
        <v>15.99</v>
      </c>
      <c r="E14">
        <v>25</v>
      </c>
      <c r="F14">
        <v>30</v>
      </c>
    </row>
    <row r="15" spans="1:6" x14ac:dyDescent="0.3">
      <c r="A15" t="s">
        <v>36</v>
      </c>
      <c r="B15" t="s">
        <v>37</v>
      </c>
      <c r="C15" t="s">
        <v>15</v>
      </c>
      <c r="D15">
        <v>42.5</v>
      </c>
      <c r="E15">
        <v>10</v>
      </c>
      <c r="F15">
        <v>6</v>
      </c>
    </row>
    <row r="16" spans="1:6" x14ac:dyDescent="0.3">
      <c r="A16" t="s">
        <v>38</v>
      </c>
      <c r="B16" t="s">
        <v>39</v>
      </c>
      <c r="C16" t="s">
        <v>8</v>
      </c>
      <c r="D16">
        <v>159.99</v>
      </c>
      <c r="E16">
        <v>8</v>
      </c>
      <c r="F16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CE57-A44C-4E09-841D-74A4ECE179D9}">
  <sheetPr>
    <tabColor rgb="FF7030A0"/>
  </sheetPr>
  <dimension ref="A1:K65"/>
  <sheetViews>
    <sheetView topLeftCell="B1" zoomScale="88" workbookViewId="0">
      <selection activeCell="L70" sqref="L70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1.6640625" bestFit="1" customWidth="1"/>
    <col min="4" max="4" width="10.5546875" bestFit="1" customWidth="1"/>
    <col min="5" max="5" width="9" bestFit="1" customWidth="1"/>
    <col min="6" max="6" width="10.6640625" bestFit="1" customWidth="1"/>
  </cols>
  <sheetData>
    <row r="1" spans="1:11" x14ac:dyDescent="0.3">
      <c r="A1" t="s">
        <v>40</v>
      </c>
      <c r="B1" t="s">
        <v>41</v>
      </c>
      <c r="C1" t="s">
        <v>0</v>
      </c>
      <c r="D1" t="s">
        <v>42</v>
      </c>
      <c r="E1" t="s">
        <v>43</v>
      </c>
      <c r="F1" t="s">
        <v>44</v>
      </c>
      <c r="G1" t="s">
        <v>1</v>
      </c>
      <c r="H1" t="s">
        <v>114</v>
      </c>
      <c r="I1" t="s">
        <v>3</v>
      </c>
      <c r="J1" t="s">
        <v>115</v>
      </c>
      <c r="K1" t="s">
        <v>116</v>
      </c>
    </row>
    <row r="2" spans="1:11" x14ac:dyDescent="0.3">
      <c r="A2" t="s">
        <v>95</v>
      </c>
      <c r="B2" s="1">
        <v>46055</v>
      </c>
      <c r="C2" t="s">
        <v>6</v>
      </c>
      <c r="D2">
        <v>1</v>
      </c>
      <c r="E2" t="s">
        <v>49</v>
      </c>
      <c r="F2" t="s">
        <v>47</v>
      </c>
      <c r="G2" t="str">
        <f>VLOOKUP(C2,'Product_Lookup '!$A$2:$F$16,2,FALSE)</f>
        <v>Wireless Mouse</v>
      </c>
      <c r="H2" t="str">
        <f>VLOOKUP(C2,'Product_Lookup '!$A$2:$F$16,3,FALSE)</f>
        <v>Electronics</v>
      </c>
      <c r="I2">
        <f>VLOOKUP(C2,'Product_Lookup '!$A$2:$F$16,4,FALSE)</f>
        <v>25.99</v>
      </c>
      <c r="J2">
        <f t="shared" ref="J2:J33" si="0">I2*D2</f>
        <v>25.99</v>
      </c>
      <c r="K2" t="str">
        <f>IF(VLOOKUP(C2,'Product_Lookup '!$A$2:$F$16,6,FALSE)&lt;VLOOKUP(C2,'Product_Lookup '!$A$2:$F$16,5,FALSE),"Reorder Now","OK")</f>
        <v>Reorder Now</v>
      </c>
    </row>
    <row r="3" spans="1:11" x14ac:dyDescent="0.3">
      <c r="A3" t="s">
        <v>112</v>
      </c>
      <c r="B3" s="1">
        <v>46096</v>
      </c>
      <c r="C3" t="s">
        <v>6</v>
      </c>
      <c r="D3">
        <v>6</v>
      </c>
      <c r="E3" t="s">
        <v>46</v>
      </c>
      <c r="F3" t="s">
        <v>52</v>
      </c>
      <c r="G3" t="str">
        <f>VLOOKUP(C3,'Product_Lookup '!$A$2:$F$16,2,FALSE)</f>
        <v>Wireless Mouse</v>
      </c>
      <c r="H3" t="str">
        <f>VLOOKUP(C3,'Product_Lookup '!$A$2:$F$16,3,FALSE)</f>
        <v>Electronics</v>
      </c>
      <c r="I3">
        <f>VLOOKUP(C3,'Product_Lookup '!$A$2:$F$16,4,FALSE)</f>
        <v>25.99</v>
      </c>
      <c r="J3">
        <f t="shared" si="0"/>
        <v>155.94</v>
      </c>
      <c r="K3" t="str">
        <f>IF(VLOOKUP(C3,'Product_Lookup '!$A$2:$F$16,6,FALSE)&lt;VLOOKUP(C3,'Product_Lookup '!$A$2:$F$16,5,FALSE),"Reorder Now","OK")</f>
        <v>Reorder Now</v>
      </c>
    </row>
    <row r="4" spans="1:11" x14ac:dyDescent="0.3">
      <c r="A4" t="s">
        <v>45</v>
      </c>
      <c r="B4" s="1">
        <v>46108</v>
      </c>
      <c r="C4" t="s">
        <v>9</v>
      </c>
      <c r="D4">
        <v>1</v>
      </c>
      <c r="E4" t="s">
        <v>46</v>
      </c>
      <c r="F4" t="s">
        <v>47</v>
      </c>
      <c r="G4" t="str">
        <f>VLOOKUP(C4,'Product_Lookup '!$A$2:$F$16,2,FALSE)</f>
        <v>USB-C Cable</v>
      </c>
      <c r="H4" t="str">
        <f>VLOOKUP(C4,'Product_Lookup '!$A$2:$F$16,3,FALSE)</f>
        <v>Electronics</v>
      </c>
      <c r="I4">
        <f>VLOOKUP(C4,'Product_Lookup '!$A$2:$F$16,4,FALSE)</f>
        <v>12.5</v>
      </c>
      <c r="J4">
        <f t="shared" si="0"/>
        <v>12.5</v>
      </c>
      <c r="K4" t="str">
        <f>IF(VLOOKUP(C4,'Product_Lookup '!$A$2:$F$16,6,FALSE)&lt;VLOOKUP(C4,'Product_Lookup '!$A$2:$F$16,5,FALSE),"Reorder Now","OK")</f>
        <v>OK</v>
      </c>
    </row>
    <row r="5" spans="1:11" x14ac:dyDescent="0.3">
      <c r="A5" t="s">
        <v>59</v>
      </c>
      <c r="B5" s="1">
        <v>46070</v>
      </c>
      <c r="C5" t="s">
        <v>9</v>
      </c>
      <c r="D5">
        <v>1</v>
      </c>
      <c r="E5" t="s">
        <v>55</v>
      </c>
      <c r="F5" t="s">
        <v>52</v>
      </c>
      <c r="G5" t="str">
        <f>VLOOKUP(C5,'Product_Lookup '!$A$2:$F$16,2,FALSE)</f>
        <v>USB-C Cable</v>
      </c>
      <c r="H5" t="str">
        <f>VLOOKUP(C5,'Product_Lookup '!$A$2:$F$16,3,FALSE)</f>
        <v>Electronics</v>
      </c>
      <c r="I5">
        <f>VLOOKUP(C5,'Product_Lookup '!$A$2:$F$16,4,FALSE)</f>
        <v>12.5</v>
      </c>
      <c r="J5">
        <f>I5*D5</f>
        <v>12.5</v>
      </c>
      <c r="K5" t="str">
        <f>IF(VLOOKUP(C5,'Product_Lookup '!$A$2:$F$16,6,FALSE)&lt;VLOOKUP(C5,'Product_Lookup '!$A$2:$F$16,5,FALSE),"Reorder Now","OK")</f>
        <v>OK</v>
      </c>
    </row>
    <row r="6" spans="1:11" x14ac:dyDescent="0.3">
      <c r="A6" t="s">
        <v>64</v>
      </c>
      <c r="B6" s="1">
        <v>46064</v>
      </c>
      <c r="C6" t="s">
        <v>9</v>
      </c>
      <c r="D6">
        <v>2</v>
      </c>
      <c r="E6" t="s">
        <v>49</v>
      </c>
      <c r="F6" t="s">
        <v>65</v>
      </c>
      <c r="G6" t="str">
        <f>VLOOKUP(C6,'Product_Lookup '!$A$2:$F$16,2,FALSE)</f>
        <v>USB-C Cable</v>
      </c>
      <c r="H6" t="str">
        <f>VLOOKUP(C6,'Product_Lookup '!$A$2:$F$16,3,FALSE)</f>
        <v>Electronics</v>
      </c>
      <c r="I6">
        <f>VLOOKUP(C6,'Product_Lookup '!$A$2:$F$16,4,FALSE)</f>
        <v>12.5</v>
      </c>
      <c r="J6">
        <f t="shared" si="0"/>
        <v>25</v>
      </c>
      <c r="K6" t="str">
        <f>IF(VLOOKUP(C6,'Product_Lookup '!$A$2:$F$16,6,FALSE)&lt;VLOOKUP(C6,'Product_Lookup '!$A$2:$F$16,5,FALSE),"Reorder Now","OK")</f>
        <v>OK</v>
      </c>
    </row>
    <row r="7" spans="1:11" x14ac:dyDescent="0.3">
      <c r="A7" t="s">
        <v>72</v>
      </c>
      <c r="B7" s="1">
        <v>46061</v>
      </c>
      <c r="C7" t="s">
        <v>9</v>
      </c>
      <c r="D7">
        <v>2</v>
      </c>
      <c r="E7" t="s">
        <v>46</v>
      </c>
      <c r="F7" t="s">
        <v>47</v>
      </c>
      <c r="G7" t="str">
        <f>VLOOKUP(C7,'Product_Lookup '!$A$2:$F$16,2,FALSE)</f>
        <v>USB-C Cable</v>
      </c>
      <c r="H7" t="str">
        <f>VLOOKUP(C7,'Product_Lookup '!$A$2:$F$16,3,FALSE)</f>
        <v>Electronics</v>
      </c>
      <c r="I7">
        <f>VLOOKUP(C7,'Product_Lookup '!$A$2:$F$16,4,FALSE)</f>
        <v>12.5</v>
      </c>
      <c r="J7">
        <f t="shared" si="0"/>
        <v>25</v>
      </c>
      <c r="K7" t="str">
        <f>IF(VLOOKUP(C7,'Product_Lookup '!$A$2:$F$16,6,FALSE)&lt;VLOOKUP(C7,'Product_Lookup '!$A$2:$F$16,5,FALSE),"Reorder Now","OK")</f>
        <v>OK</v>
      </c>
    </row>
    <row r="8" spans="1:11" x14ac:dyDescent="0.3">
      <c r="A8" t="s">
        <v>88</v>
      </c>
      <c r="B8" s="1">
        <v>46037</v>
      </c>
      <c r="C8" t="s">
        <v>9</v>
      </c>
      <c r="D8">
        <v>6</v>
      </c>
      <c r="E8" t="s">
        <v>55</v>
      </c>
      <c r="F8" t="s">
        <v>52</v>
      </c>
      <c r="G8" t="str">
        <f>VLOOKUP(C8,'Product_Lookup '!$A$2:$F$16,2,FALSE)</f>
        <v>USB-C Cable</v>
      </c>
      <c r="H8" t="str">
        <f>VLOOKUP(C8,'Product_Lookup '!$A$2:$F$16,3,FALSE)</f>
        <v>Electronics</v>
      </c>
      <c r="I8">
        <f>VLOOKUP(C8,'Product_Lookup '!$A$2:$F$16,4,FALSE)</f>
        <v>12.5</v>
      </c>
      <c r="J8">
        <f t="shared" si="0"/>
        <v>75</v>
      </c>
      <c r="K8" t="str">
        <f>IF(VLOOKUP(C8,'Product_Lookup '!$A$2:$F$16,6,FALSE)&lt;VLOOKUP(C8,'Product_Lookup '!$A$2:$F$16,5,FALSE),"Reorder Now","OK")</f>
        <v>OK</v>
      </c>
    </row>
    <row r="9" spans="1:11" x14ac:dyDescent="0.3">
      <c r="A9" t="s">
        <v>48</v>
      </c>
      <c r="B9" s="1">
        <v>46055</v>
      </c>
      <c r="C9" t="s">
        <v>11</v>
      </c>
      <c r="D9">
        <v>6</v>
      </c>
      <c r="E9" t="s">
        <v>49</v>
      </c>
      <c r="F9" t="s">
        <v>50</v>
      </c>
      <c r="G9" t="str">
        <f>VLOOKUP(C9,'Product_Lookup '!$A$2:$F$16,2,FALSE)</f>
        <v>Bluetooth Speaker</v>
      </c>
      <c r="H9" t="str">
        <f>VLOOKUP(C9,'Product_Lookup '!$A$2:$F$16,3,FALSE)</f>
        <v>Electronics</v>
      </c>
      <c r="I9">
        <f>VLOOKUP(C9,'Product_Lookup '!$A$2:$F$16,4,FALSE)</f>
        <v>45</v>
      </c>
      <c r="J9">
        <f t="shared" si="0"/>
        <v>270</v>
      </c>
      <c r="K9" t="str">
        <f>IF(VLOOKUP(C9,'Product_Lookup '!$A$2:$F$16,6,FALSE)&lt;VLOOKUP(C9,'Product_Lookup '!$A$2:$F$16,5,FALSE),"Reorder Now","OK")</f>
        <v>Reorder Now</v>
      </c>
    </row>
    <row r="10" spans="1:11" x14ac:dyDescent="0.3">
      <c r="A10" t="s">
        <v>74</v>
      </c>
      <c r="B10" s="1">
        <v>46060</v>
      </c>
      <c r="C10" t="s">
        <v>11</v>
      </c>
      <c r="D10">
        <v>2</v>
      </c>
      <c r="E10" t="s">
        <v>46</v>
      </c>
      <c r="F10" t="s">
        <v>50</v>
      </c>
      <c r="G10" t="str">
        <f>VLOOKUP(C10,'Product_Lookup '!$A$2:$F$16,2,FALSE)</f>
        <v>Bluetooth Speaker</v>
      </c>
      <c r="H10" t="str">
        <f>VLOOKUP(C10,'Product_Lookup '!$A$2:$F$16,3,FALSE)</f>
        <v>Electronics</v>
      </c>
      <c r="I10">
        <f>VLOOKUP(C10,'Product_Lookup '!$A$2:$F$16,4,FALSE)</f>
        <v>45</v>
      </c>
      <c r="J10">
        <f t="shared" si="0"/>
        <v>90</v>
      </c>
      <c r="K10" t="str">
        <f>IF(VLOOKUP(C10,'Product_Lookup '!$A$2:$F$16,6,FALSE)&lt;VLOOKUP(C10,'Product_Lookup '!$A$2:$F$16,5,FALSE),"Reorder Now","OK")</f>
        <v>Reorder Now</v>
      </c>
    </row>
    <row r="11" spans="1:11" x14ac:dyDescent="0.3">
      <c r="A11" t="s">
        <v>76</v>
      </c>
      <c r="B11" s="1">
        <v>46055</v>
      </c>
      <c r="C11" t="s">
        <v>11</v>
      </c>
      <c r="D11">
        <v>5</v>
      </c>
      <c r="E11" t="s">
        <v>55</v>
      </c>
      <c r="F11" t="s">
        <v>52</v>
      </c>
      <c r="G11" t="str">
        <f>VLOOKUP(C11,'Product_Lookup '!$A$2:$F$16,2,FALSE)</f>
        <v>Bluetooth Speaker</v>
      </c>
      <c r="H11" t="str">
        <f>VLOOKUP(C11,'Product_Lookup '!$A$2:$F$16,3,FALSE)</f>
        <v>Electronics</v>
      </c>
      <c r="I11">
        <f>VLOOKUP(C11,'Product_Lookup '!$A$2:$F$16,4,FALSE)</f>
        <v>45</v>
      </c>
      <c r="J11">
        <f t="shared" si="0"/>
        <v>225</v>
      </c>
      <c r="K11" t="str">
        <f>IF(VLOOKUP(C11,'Product_Lookup '!$A$2:$F$16,6,FALSE)&lt;VLOOKUP(C11,'Product_Lookup '!$A$2:$F$16,5,FALSE),"Reorder Now","OK")</f>
        <v>Reorder Now</v>
      </c>
    </row>
    <row r="12" spans="1:11" x14ac:dyDescent="0.3">
      <c r="A12" t="s">
        <v>90</v>
      </c>
      <c r="B12" s="1">
        <v>46097</v>
      </c>
      <c r="C12" t="s">
        <v>11</v>
      </c>
      <c r="D12">
        <v>3</v>
      </c>
      <c r="E12" t="s">
        <v>55</v>
      </c>
      <c r="F12" t="s">
        <v>47</v>
      </c>
      <c r="G12" t="str">
        <f>VLOOKUP(C12,'Product_Lookup '!$A$2:$F$16,2,FALSE)</f>
        <v>Bluetooth Speaker</v>
      </c>
      <c r="H12" t="str">
        <f>VLOOKUP(C12,'Product_Lookup '!$A$2:$F$16,3,FALSE)</f>
        <v>Electronics</v>
      </c>
      <c r="I12">
        <f>VLOOKUP(C12,'Product_Lookup '!$A$2:$F$16,4,FALSE)</f>
        <v>45</v>
      </c>
      <c r="J12">
        <f t="shared" si="0"/>
        <v>135</v>
      </c>
      <c r="K12" t="str">
        <f>IF(VLOOKUP(C12,'Product_Lookup '!$A$2:$F$16,6,FALSE)&lt;VLOOKUP(C12,'Product_Lookup '!$A$2:$F$16,5,FALSE),"Reorder Now","OK")</f>
        <v>Reorder Now</v>
      </c>
    </row>
    <row r="13" spans="1:11" x14ac:dyDescent="0.3">
      <c r="A13" t="s">
        <v>98</v>
      </c>
      <c r="B13" s="1">
        <v>46096</v>
      </c>
      <c r="C13" t="s">
        <v>11</v>
      </c>
      <c r="D13">
        <v>6</v>
      </c>
      <c r="E13" t="s">
        <v>55</v>
      </c>
      <c r="F13" t="s">
        <v>47</v>
      </c>
      <c r="G13" t="str">
        <f>VLOOKUP(C13,'Product_Lookup '!$A$2:$F$16,2,FALSE)</f>
        <v>Bluetooth Speaker</v>
      </c>
      <c r="H13" t="str">
        <f>VLOOKUP(C13,'Product_Lookup '!$A$2:$F$16,3,FALSE)</f>
        <v>Electronics</v>
      </c>
      <c r="I13">
        <f>VLOOKUP(C13,'Product_Lookup '!$A$2:$F$16,4,FALSE)</f>
        <v>45</v>
      </c>
      <c r="J13">
        <f t="shared" si="0"/>
        <v>270</v>
      </c>
      <c r="K13" t="str">
        <f>IF(VLOOKUP(C13,'Product_Lookup '!$A$2:$F$16,6,FALSE)&lt;VLOOKUP(C13,'Product_Lookup '!$A$2:$F$16,5,FALSE),"Reorder Now","OK")</f>
        <v>Reorder Now</v>
      </c>
    </row>
    <row r="14" spans="1:11" x14ac:dyDescent="0.3">
      <c r="A14" t="s">
        <v>104</v>
      </c>
      <c r="B14" s="1">
        <v>46081</v>
      </c>
      <c r="C14" t="s">
        <v>11</v>
      </c>
      <c r="D14">
        <v>3</v>
      </c>
      <c r="E14" t="s">
        <v>55</v>
      </c>
      <c r="F14" t="s">
        <v>47</v>
      </c>
      <c r="G14" t="str">
        <f>VLOOKUP(C14,'Product_Lookup '!$A$2:$F$16,2,FALSE)</f>
        <v>Bluetooth Speaker</v>
      </c>
      <c r="H14" t="str">
        <f>VLOOKUP(C14,'Product_Lookup '!$A$2:$F$16,3,FALSE)</f>
        <v>Electronics</v>
      </c>
      <c r="I14">
        <f>VLOOKUP(C14,'Product_Lookup '!$A$2:$F$16,4,FALSE)</f>
        <v>45</v>
      </c>
      <c r="J14">
        <f t="shared" si="0"/>
        <v>135</v>
      </c>
      <c r="K14" t="str">
        <f>IF(VLOOKUP(C14,'Product_Lookup '!$A$2:$F$16,6,FALSE)&lt;VLOOKUP(C14,'Product_Lookup '!$A$2:$F$16,5,FALSE),"Reorder Now","OK")</f>
        <v>Reorder Now</v>
      </c>
    </row>
    <row r="15" spans="1:11" x14ac:dyDescent="0.3">
      <c r="A15" t="s">
        <v>53</v>
      </c>
      <c r="B15" s="1">
        <v>46038</v>
      </c>
      <c r="C15" t="s">
        <v>13</v>
      </c>
      <c r="D15">
        <v>2</v>
      </c>
      <c r="E15" t="s">
        <v>49</v>
      </c>
      <c r="F15" t="s">
        <v>50</v>
      </c>
      <c r="G15" t="str">
        <f>VLOOKUP(C15,'Product_Lookup '!$A$2:$F$16,2,FALSE)</f>
        <v>Laptop Stand</v>
      </c>
      <c r="H15" t="str">
        <f>VLOOKUP(C15,'Product_Lookup '!$A$2:$F$16,3,FALSE)</f>
        <v>Accessories</v>
      </c>
      <c r="I15">
        <f>VLOOKUP(C15,'Product_Lookup '!$A$2:$F$16,4,FALSE)</f>
        <v>35</v>
      </c>
      <c r="J15">
        <f t="shared" si="0"/>
        <v>70</v>
      </c>
      <c r="K15" t="str">
        <f>IF(VLOOKUP(C15,'Product_Lookup '!$A$2:$F$16,6,FALSE)&lt;VLOOKUP(C15,'Product_Lookup '!$A$2:$F$16,5,FALSE),"Reorder Now","OK")</f>
        <v>OK</v>
      </c>
    </row>
    <row r="16" spans="1:11" x14ac:dyDescent="0.3">
      <c r="A16" t="s">
        <v>71</v>
      </c>
      <c r="B16" s="1">
        <v>46034</v>
      </c>
      <c r="C16" t="s">
        <v>13</v>
      </c>
      <c r="D16">
        <v>1</v>
      </c>
      <c r="E16" t="s">
        <v>46</v>
      </c>
      <c r="F16" t="s">
        <v>65</v>
      </c>
      <c r="G16" t="str">
        <f>VLOOKUP(C16,'Product_Lookup '!$A$2:$F$16,2,FALSE)</f>
        <v>Laptop Stand</v>
      </c>
      <c r="H16" t="str">
        <f>VLOOKUP(C16,'Product_Lookup '!$A$2:$F$16,3,FALSE)</f>
        <v>Accessories</v>
      </c>
      <c r="I16">
        <f>VLOOKUP(C16,'Product_Lookup '!$A$2:$F$16,4,FALSE)</f>
        <v>35</v>
      </c>
      <c r="J16">
        <f t="shared" si="0"/>
        <v>35</v>
      </c>
      <c r="K16" t="str">
        <f>IF(VLOOKUP(C16,'Product_Lookup '!$A$2:$F$16,6,FALSE)&lt;VLOOKUP(C16,'Product_Lookup '!$A$2:$F$16,5,FALSE),"Reorder Now","OK")</f>
        <v>OK</v>
      </c>
    </row>
    <row r="17" spans="1:11" x14ac:dyDescent="0.3">
      <c r="A17" t="s">
        <v>87</v>
      </c>
      <c r="B17" s="1">
        <v>46066</v>
      </c>
      <c r="C17" t="s">
        <v>13</v>
      </c>
      <c r="D17">
        <v>1</v>
      </c>
      <c r="E17" t="s">
        <v>58</v>
      </c>
      <c r="F17" t="s">
        <v>50</v>
      </c>
      <c r="G17" t="str">
        <f>VLOOKUP(C17,'Product_Lookup '!$A$2:$F$16,2,FALSE)</f>
        <v>Laptop Stand</v>
      </c>
      <c r="H17" t="str">
        <f>VLOOKUP(C17,'Product_Lookup '!$A$2:$F$16,3,FALSE)</f>
        <v>Accessories</v>
      </c>
      <c r="I17">
        <f>VLOOKUP(C17,'Product_Lookup '!$A$2:$F$16,4,FALSE)</f>
        <v>35</v>
      </c>
      <c r="J17">
        <f t="shared" si="0"/>
        <v>35</v>
      </c>
      <c r="K17" t="str">
        <f>IF(VLOOKUP(C17,'Product_Lookup '!$A$2:$F$16,6,FALSE)&lt;VLOOKUP(C17,'Product_Lookup '!$A$2:$F$16,5,FALSE),"Reorder Now","OK")</f>
        <v>OK</v>
      </c>
    </row>
    <row r="18" spans="1:11" x14ac:dyDescent="0.3">
      <c r="A18" t="s">
        <v>97</v>
      </c>
      <c r="B18" s="1">
        <v>46092</v>
      </c>
      <c r="C18" t="s">
        <v>13</v>
      </c>
      <c r="D18">
        <v>3</v>
      </c>
      <c r="E18" t="s">
        <v>55</v>
      </c>
      <c r="F18" t="s">
        <v>47</v>
      </c>
      <c r="G18" t="str">
        <f>VLOOKUP(C18,'Product_Lookup '!$A$2:$F$16,2,FALSE)</f>
        <v>Laptop Stand</v>
      </c>
      <c r="H18" t="str">
        <f>VLOOKUP(C18,'Product_Lookup '!$A$2:$F$16,3,FALSE)</f>
        <v>Accessories</v>
      </c>
      <c r="I18">
        <f>VLOOKUP(C18,'Product_Lookup '!$A$2:$F$16,4,FALSE)</f>
        <v>35</v>
      </c>
      <c r="J18">
        <f t="shared" si="0"/>
        <v>105</v>
      </c>
      <c r="K18" t="str">
        <f>IF(VLOOKUP(C18,'Product_Lookup '!$A$2:$F$16,6,FALSE)&lt;VLOOKUP(C18,'Product_Lookup '!$A$2:$F$16,5,FALSE),"Reorder Now","OK")</f>
        <v>OK</v>
      </c>
    </row>
    <row r="19" spans="1:11" x14ac:dyDescent="0.3">
      <c r="A19" t="s">
        <v>103</v>
      </c>
      <c r="B19" s="1">
        <v>46058</v>
      </c>
      <c r="C19" t="s">
        <v>13</v>
      </c>
      <c r="D19">
        <v>2</v>
      </c>
      <c r="E19" t="s">
        <v>55</v>
      </c>
      <c r="F19" t="s">
        <v>47</v>
      </c>
      <c r="G19" t="str">
        <f>VLOOKUP(C19,'Product_Lookup '!$A$2:$F$16,2,FALSE)</f>
        <v>Laptop Stand</v>
      </c>
      <c r="H19" t="str">
        <f>VLOOKUP(C19,'Product_Lookup '!$A$2:$F$16,3,FALSE)</f>
        <v>Accessories</v>
      </c>
      <c r="I19">
        <f>VLOOKUP(C19,'Product_Lookup '!$A$2:$F$16,4,FALSE)</f>
        <v>35</v>
      </c>
      <c r="J19">
        <f t="shared" si="0"/>
        <v>70</v>
      </c>
      <c r="K19" t="str">
        <f>IF(VLOOKUP(C19,'Product_Lookup '!$A$2:$F$16,6,FALSE)&lt;VLOOKUP(C19,'Product_Lookup '!$A$2:$F$16,5,FALSE),"Reorder Now","OK")</f>
        <v>OK</v>
      </c>
    </row>
    <row r="20" spans="1:11" x14ac:dyDescent="0.3">
      <c r="A20" t="s">
        <v>62</v>
      </c>
      <c r="B20" s="1">
        <v>46097</v>
      </c>
      <c r="C20" t="s">
        <v>16</v>
      </c>
      <c r="D20">
        <v>6</v>
      </c>
      <c r="E20" t="s">
        <v>46</v>
      </c>
      <c r="F20" t="s">
        <v>50</v>
      </c>
      <c r="G20" t="str">
        <f>VLOOKUP(C20,'Product_Lookup '!$A$2:$F$16,2,FALSE)</f>
        <v>Mechanical Keyboard</v>
      </c>
      <c r="H20" t="str">
        <f>VLOOKUP(C20,'Product_Lookup '!$A$2:$F$16,3,FALSE)</f>
        <v>Electronics</v>
      </c>
      <c r="I20">
        <f>VLOOKUP(C20,'Product_Lookup '!$A$2:$F$16,4,FALSE)</f>
        <v>89.99</v>
      </c>
      <c r="J20">
        <f t="shared" si="0"/>
        <v>539.93999999999994</v>
      </c>
      <c r="K20" t="str">
        <f>IF(VLOOKUP(C20,'Product_Lookup '!$A$2:$F$16,6,FALSE)&lt;VLOOKUP(C20,'Product_Lookup '!$A$2:$F$16,5,FALSE),"Reorder Now","OK")</f>
        <v>Reorder Now</v>
      </c>
    </row>
    <row r="21" spans="1:11" x14ac:dyDescent="0.3">
      <c r="A21" t="s">
        <v>111</v>
      </c>
      <c r="B21" s="1">
        <v>46051</v>
      </c>
      <c r="C21" t="s">
        <v>16</v>
      </c>
      <c r="D21">
        <v>2</v>
      </c>
      <c r="E21" t="s">
        <v>49</v>
      </c>
      <c r="F21" t="s">
        <v>50</v>
      </c>
      <c r="G21" t="str">
        <f>VLOOKUP(C21,'Product_Lookup '!$A$2:$F$16,2,FALSE)</f>
        <v>Mechanical Keyboard</v>
      </c>
      <c r="H21" t="str">
        <f>VLOOKUP(C21,'Product_Lookup '!$A$2:$F$16,3,FALSE)</f>
        <v>Electronics</v>
      </c>
      <c r="I21">
        <f>VLOOKUP(C21,'Product_Lookup '!$A$2:$F$16,4,FALSE)</f>
        <v>89.99</v>
      </c>
      <c r="J21">
        <f t="shared" si="0"/>
        <v>179.98</v>
      </c>
      <c r="K21" t="str">
        <f>IF(VLOOKUP(C21,'Product_Lookup '!$A$2:$F$16,6,FALSE)&lt;VLOOKUP(C21,'Product_Lookup '!$A$2:$F$16,5,FALSE),"Reorder Now","OK")</f>
        <v>Reorder Now</v>
      </c>
    </row>
    <row r="22" spans="1:11" x14ac:dyDescent="0.3">
      <c r="A22" t="s">
        <v>57</v>
      </c>
      <c r="B22" s="1">
        <v>46081</v>
      </c>
      <c r="C22" t="s">
        <v>18</v>
      </c>
      <c r="D22">
        <v>3</v>
      </c>
      <c r="E22" t="s">
        <v>58</v>
      </c>
      <c r="F22" t="s">
        <v>47</v>
      </c>
      <c r="G22" t="str">
        <f>VLOOKUP(C22,'Product_Lookup '!$A$2:$F$16,2,FALSE)</f>
        <v>Notebook Set</v>
      </c>
      <c r="H22" t="str">
        <f>VLOOKUP(C22,'Product_Lookup '!$A$2:$F$16,3,FALSE)</f>
        <v>Stationery</v>
      </c>
      <c r="I22">
        <f>VLOOKUP(C22,'Product_Lookup '!$A$2:$F$16,4,FALSE)</f>
        <v>8.5</v>
      </c>
      <c r="J22">
        <f t="shared" si="0"/>
        <v>25.5</v>
      </c>
      <c r="K22" t="str">
        <f>IF(VLOOKUP(C22,'Product_Lookup '!$A$2:$F$16,6,FALSE)&lt;VLOOKUP(C22,'Product_Lookup '!$A$2:$F$16,5,FALSE),"Reorder Now","OK")</f>
        <v>OK</v>
      </c>
    </row>
    <row r="23" spans="1:11" x14ac:dyDescent="0.3">
      <c r="A23" t="s">
        <v>67</v>
      </c>
      <c r="B23" s="1">
        <v>46074</v>
      </c>
      <c r="C23" t="s">
        <v>18</v>
      </c>
      <c r="D23">
        <v>2</v>
      </c>
      <c r="E23" t="s">
        <v>46</v>
      </c>
      <c r="F23" t="s">
        <v>52</v>
      </c>
      <c r="G23" t="str">
        <f>VLOOKUP(C23,'Product_Lookup '!$A$2:$F$16,2,FALSE)</f>
        <v>Notebook Set</v>
      </c>
      <c r="H23" t="str">
        <f>VLOOKUP(C23,'Product_Lookup '!$A$2:$F$16,3,FALSE)</f>
        <v>Stationery</v>
      </c>
      <c r="I23">
        <f>VLOOKUP(C23,'Product_Lookup '!$A$2:$F$16,4,FALSE)</f>
        <v>8.5</v>
      </c>
      <c r="J23">
        <f t="shared" si="0"/>
        <v>17</v>
      </c>
      <c r="K23" t="str">
        <f>IF(VLOOKUP(C23,'Product_Lookup '!$A$2:$F$16,6,FALSE)&lt;VLOOKUP(C23,'Product_Lookup '!$A$2:$F$16,5,FALSE),"Reorder Now","OK")</f>
        <v>OK</v>
      </c>
    </row>
    <row r="24" spans="1:11" x14ac:dyDescent="0.3">
      <c r="A24" t="s">
        <v>94</v>
      </c>
      <c r="B24" s="1">
        <v>46035</v>
      </c>
      <c r="C24" t="s">
        <v>18</v>
      </c>
      <c r="D24">
        <v>1</v>
      </c>
      <c r="E24" t="s">
        <v>58</v>
      </c>
      <c r="F24" t="s">
        <v>50</v>
      </c>
      <c r="G24" t="str">
        <f>VLOOKUP(C24,'Product_Lookup '!$A$2:$F$16,2,FALSE)</f>
        <v>Notebook Set</v>
      </c>
      <c r="H24" t="str">
        <f>VLOOKUP(C24,'Product_Lookup '!$A$2:$F$16,3,FALSE)</f>
        <v>Stationery</v>
      </c>
      <c r="I24">
        <f>VLOOKUP(C24,'Product_Lookup '!$A$2:$F$16,4,FALSE)</f>
        <v>8.5</v>
      </c>
      <c r="J24">
        <f t="shared" si="0"/>
        <v>8.5</v>
      </c>
      <c r="K24" t="str">
        <f>IF(VLOOKUP(C24,'Product_Lookup '!$A$2:$F$16,6,FALSE)&lt;VLOOKUP(C24,'Product_Lookup '!$A$2:$F$16,5,FALSE),"Reorder Now","OK")</f>
        <v>OK</v>
      </c>
    </row>
    <row r="25" spans="1:11" x14ac:dyDescent="0.3">
      <c r="A25" t="s">
        <v>69</v>
      </c>
      <c r="B25" s="1">
        <v>46086</v>
      </c>
      <c r="C25" t="s">
        <v>21</v>
      </c>
      <c r="D25">
        <v>3</v>
      </c>
      <c r="E25" t="s">
        <v>58</v>
      </c>
      <c r="F25" t="s">
        <v>70</v>
      </c>
      <c r="G25" t="str">
        <f>VLOOKUP(C25,'Product_Lookup '!$A$2:$F$16,2,FALSE)</f>
        <v>Gel Pens (Pack of 10)</v>
      </c>
      <c r="H25" t="str">
        <f>VLOOKUP(C25,'Product_Lookup '!$A$2:$F$16,3,FALSE)</f>
        <v>Stationery</v>
      </c>
      <c r="I25">
        <f>VLOOKUP(C25,'Product_Lookup '!$A$2:$F$16,4,FALSE)</f>
        <v>6.25</v>
      </c>
      <c r="J25">
        <f t="shared" si="0"/>
        <v>18.75</v>
      </c>
      <c r="K25" t="str">
        <f>IF(VLOOKUP(C25,'Product_Lookup '!$A$2:$F$16,6,FALSE)&lt;VLOOKUP(C25,'Product_Lookup '!$A$2:$F$16,5,FALSE),"Reorder Now","OK")</f>
        <v>Reorder Now</v>
      </c>
    </row>
    <row r="26" spans="1:11" x14ac:dyDescent="0.3">
      <c r="A26" t="s">
        <v>82</v>
      </c>
      <c r="B26" s="1">
        <v>46064</v>
      </c>
      <c r="C26" t="s">
        <v>21</v>
      </c>
      <c r="D26">
        <v>2</v>
      </c>
      <c r="E26" t="s">
        <v>55</v>
      </c>
      <c r="F26" t="s">
        <v>52</v>
      </c>
      <c r="G26" t="str">
        <f>VLOOKUP(C26,'Product_Lookup '!$A$2:$F$16,2,FALSE)</f>
        <v>Gel Pens (Pack of 10)</v>
      </c>
      <c r="H26" t="str">
        <f>VLOOKUP(C26,'Product_Lookup '!$A$2:$F$16,3,FALSE)</f>
        <v>Stationery</v>
      </c>
      <c r="I26">
        <f>VLOOKUP(C26,'Product_Lookup '!$A$2:$F$16,4,FALSE)</f>
        <v>6.25</v>
      </c>
      <c r="J26">
        <f t="shared" si="0"/>
        <v>12.5</v>
      </c>
      <c r="K26" t="str">
        <f>IF(VLOOKUP(C26,'Product_Lookup '!$A$2:$F$16,6,FALSE)&lt;VLOOKUP(C26,'Product_Lookup '!$A$2:$F$16,5,FALSE),"Reorder Now","OK")</f>
        <v>Reorder Now</v>
      </c>
    </row>
    <row r="27" spans="1:11" x14ac:dyDescent="0.3">
      <c r="A27" t="s">
        <v>102</v>
      </c>
      <c r="B27" s="1">
        <v>46034</v>
      </c>
      <c r="C27" t="s">
        <v>21</v>
      </c>
      <c r="D27">
        <v>6</v>
      </c>
      <c r="E27" t="s">
        <v>46</v>
      </c>
      <c r="F27" t="s">
        <v>52</v>
      </c>
      <c r="G27" t="str">
        <f>VLOOKUP(C27,'Product_Lookup '!$A$2:$F$16,2,FALSE)</f>
        <v>Gel Pens (Pack of 10)</v>
      </c>
      <c r="H27" t="str">
        <f>VLOOKUP(C27,'Product_Lookup '!$A$2:$F$16,3,FALSE)</f>
        <v>Stationery</v>
      </c>
      <c r="I27">
        <f>VLOOKUP(C27,'Product_Lookup '!$A$2:$F$16,4,FALSE)</f>
        <v>6.25</v>
      </c>
      <c r="J27">
        <f t="shared" si="0"/>
        <v>37.5</v>
      </c>
      <c r="K27" t="str">
        <f>IF(VLOOKUP(C27,'Product_Lookup '!$A$2:$F$16,6,FALSE)&lt;VLOOKUP(C27,'Product_Lookup '!$A$2:$F$16,5,FALSE),"Reorder Now","OK")</f>
        <v>Reorder Now</v>
      </c>
    </row>
    <row r="28" spans="1:11" x14ac:dyDescent="0.3">
      <c r="A28" t="s">
        <v>107</v>
      </c>
      <c r="B28" s="1">
        <v>46048</v>
      </c>
      <c r="C28" t="s">
        <v>21</v>
      </c>
      <c r="D28">
        <v>4</v>
      </c>
      <c r="E28" t="s">
        <v>55</v>
      </c>
      <c r="F28" t="s">
        <v>47</v>
      </c>
      <c r="G28" t="str">
        <f>VLOOKUP(C28,'Product_Lookup '!$A$2:$F$16,2,FALSE)</f>
        <v>Gel Pens (Pack of 10)</v>
      </c>
      <c r="H28" t="str">
        <f>VLOOKUP(C28,'Product_Lookup '!$A$2:$F$16,3,FALSE)</f>
        <v>Stationery</v>
      </c>
      <c r="I28">
        <f>VLOOKUP(C28,'Product_Lookup '!$A$2:$F$16,4,FALSE)</f>
        <v>6.25</v>
      </c>
      <c r="J28">
        <f t="shared" si="0"/>
        <v>25</v>
      </c>
      <c r="K28" t="str">
        <f>IF(VLOOKUP(C28,'Product_Lookup '!$A$2:$F$16,6,FALSE)&lt;VLOOKUP(C28,'Product_Lookup '!$A$2:$F$16,5,FALSE),"Reorder Now","OK")</f>
        <v>Reorder Now</v>
      </c>
    </row>
    <row r="29" spans="1:11" x14ac:dyDescent="0.3">
      <c r="A29" t="s">
        <v>109</v>
      </c>
      <c r="B29" s="1">
        <v>46027</v>
      </c>
      <c r="C29" t="s">
        <v>21</v>
      </c>
      <c r="D29">
        <v>3</v>
      </c>
      <c r="E29" t="s">
        <v>55</v>
      </c>
      <c r="F29" t="s">
        <v>70</v>
      </c>
      <c r="G29" t="str">
        <f>VLOOKUP(C29,'Product_Lookup '!$A$2:$F$16,2,FALSE)</f>
        <v>Gel Pens (Pack of 10)</v>
      </c>
      <c r="H29" t="str">
        <f>VLOOKUP(C29,'Product_Lookup '!$A$2:$F$16,3,FALSE)</f>
        <v>Stationery</v>
      </c>
      <c r="I29">
        <f>VLOOKUP(C29,'Product_Lookup '!$A$2:$F$16,4,FALSE)</f>
        <v>6.25</v>
      </c>
      <c r="J29">
        <f t="shared" si="0"/>
        <v>18.75</v>
      </c>
      <c r="K29" t="str">
        <f>IF(VLOOKUP(C29,'Product_Lookup '!$A$2:$F$16,6,FALSE)&lt;VLOOKUP(C29,'Product_Lookup '!$A$2:$F$16,5,FALSE),"Reorder Now","OK")</f>
        <v>Reorder Now</v>
      </c>
    </row>
    <row r="30" spans="1:11" x14ac:dyDescent="0.3">
      <c r="A30" t="s">
        <v>66</v>
      </c>
      <c r="B30" s="1">
        <v>46062</v>
      </c>
      <c r="C30" t="s">
        <v>23</v>
      </c>
      <c r="D30">
        <v>6</v>
      </c>
      <c r="E30" t="s">
        <v>46</v>
      </c>
      <c r="F30" t="s">
        <v>47</v>
      </c>
      <c r="G30" t="str">
        <f>VLOOKUP(C30,'Product_Lookup '!$A$2:$F$16,2,FALSE)</f>
        <v>Sticky Notes</v>
      </c>
      <c r="H30" t="str">
        <f>VLOOKUP(C30,'Product_Lookup '!$A$2:$F$16,3,FALSE)</f>
        <v>Stationery</v>
      </c>
      <c r="I30">
        <f>VLOOKUP(C30,'Product_Lookup '!$A$2:$F$16,4,FALSE)</f>
        <v>3.75</v>
      </c>
      <c r="J30">
        <f t="shared" si="0"/>
        <v>22.5</v>
      </c>
      <c r="K30" t="str">
        <f>IF(VLOOKUP(C30,'Product_Lookup '!$A$2:$F$16,6,FALSE)&lt;VLOOKUP(C30,'Product_Lookup '!$A$2:$F$16,5,FALSE),"Reorder Now","OK")</f>
        <v>OK</v>
      </c>
    </row>
    <row r="31" spans="1:11" x14ac:dyDescent="0.3">
      <c r="A31" t="s">
        <v>73</v>
      </c>
      <c r="B31" s="1">
        <v>46110</v>
      </c>
      <c r="C31" t="s">
        <v>23</v>
      </c>
      <c r="D31">
        <v>4</v>
      </c>
      <c r="E31" t="s">
        <v>55</v>
      </c>
      <c r="F31" t="s">
        <v>47</v>
      </c>
      <c r="G31" t="str">
        <f>VLOOKUP(C31,'Product_Lookup '!$A$2:$F$16,2,FALSE)</f>
        <v>Sticky Notes</v>
      </c>
      <c r="H31" t="str">
        <f>VLOOKUP(C31,'Product_Lookup '!$A$2:$F$16,3,FALSE)</f>
        <v>Stationery</v>
      </c>
      <c r="I31">
        <f>VLOOKUP(C31,'Product_Lookup '!$A$2:$F$16,4,FALSE)</f>
        <v>3.75</v>
      </c>
      <c r="J31">
        <f t="shared" si="0"/>
        <v>15</v>
      </c>
      <c r="K31" t="str">
        <f>IF(VLOOKUP(C31,'Product_Lookup '!$A$2:$F$16,6,FALSE)&lt;VLOOKUP(C31,'Product_Lookup '!$A$2:$F$16,5,FALSE),"Reorder Now","OK")</f>
        <v>OK</v>
      </c>
    </row>
    <row r="32" spans="1:11" x14ac:dyDescent="0.3">
      <c r="A32" t="s">
        <v>79</v>
      </c>
      <c r="B32" s="1">
        <v>46103</v>
      </c>
      <c r="C32" t="s">
        <v>23</v>
      </c>
      <c r="D32">
        <v>5</v>
      </c>
      <c r="E32" t="s">
        <v>46</v>
      </c>
      <c r="F32" t="s">
        <v>50</v>
      </c>
      <c r="G32" t="str">
        <f>VLOOKUP(C32,'Product_Lookup '!$A$2:$F$16,2,FALSE)</f>
        <v>Sticky Notes</v>
      </c>
      <c r="H32" t="str">
        <f>VLOOKUP(C32,'Product_Lookup '!$A$2:$F$16,3,FALSE)</f>
        <v>Stationery</v>
      </c>
      <c r="I32">
        <f>VLOOKUP(C32,'Product_Lookup '!$A$2:$F$16,4,FALSE)</f>
        <v>3.75</v>
      </c>
      <c r="J32">
        <f t="shared" si="0"/>
        <v>18.75</v>
      </c>
      <c r="K32" t="str">
        <f>IF(VLOOKUP(C32,'Product_Lookup '!$A$2:$F$16,6,FALSE)&lt;VLOOKUP(C32,'Product_Lookup '!$A$2:$F$16,5,FALSE),"Reorder Now","OK")</f>
        <v>OK</v>
      </c>
    </row>
    <row r="33" spans="1:11" x14ac:dyDescent="0.3">
      <c r="A33" t="s">
        <v>86</v>
      </c>
      <c r="B33" s="1">
        <v>46068</v>
      </c>
      <c r="C33" t="s">
        <v>23</v>
      </c>
      <c r="D33">
        <v>1</v>
      </c>
      <c r="E33" t="s">
        <v>49</v>
      </c>
      <c r="F33" t="s">
        <v>70</v>
      </c>
      <c r="G33" t="str">
        <f>VLOOKUP(C33,'Product_Lookup '!$A$2:$F$16,2,FALSE)</f>
        <v>Sticky Notes</v>
      </c>
      <c r="H33" t="str">
        <f>VLOOKUP(C33,'Product_Lookup '!$A$2:$F$16,3,FALSE)</f>
        <v>Stationery</v>
      </c>
      <c r="I33">
        <f>VLOOKUP(C33,'Product_Lookup '!$A$2:$F$16,4,FALSE)</f>
        <v>3.75</v>
      </c>
      <c r="J33">
        <f t="shared" si="0"/>
        <v>3.75</v>
      </c>
      <c r="K33" t="str">
        <f>IF(VLOOKUP(C33,'Product_Lookup '!$A$2:$F$16,6,FALSE)&lt;VLOOKUP(C33,'Product_Lookup '!$A$2:$F$16,5,FALSE),"Reorder Now","OK")</f>
        <v>OK</v>
      </c>
    </row>
    <row r="34" spans="1:11" x14ac:dyDescent="0.3">
      <c r="A34" t="s">
        <v>93</v>
      </c>
      <c r="B34" s="1">
        <v>46093</v>
      </c>
      <c r="C34" t="s">
        <v>23</v>
      </c>
      <c r="D34">
        <v>1</v>
      </c>
      <c r="E34" t="s">
        <v>58</v>
      </c>
      <c r="F34" t="s">
        <v>47</v>
      </c>
      <c r="G34" t="str">
        <f>VLOOKUP(C34,'Product_Lookup '!$A$2:$F$16,2,FALSE)</f>
        <v>Sticky Notes</v>
      </c>
      <c r="H34" t="str">
        <f>VLOOKUP(C34,'Product_Lookup '!$A$2:$F$16,3,FALSE)</f>
        <v>Stationery</v>
      </c>
      <c r="I34">
        <f>VLOOKUP(C34,'Product_Lookup '!$A$2:$F$16,4,FALSE)</f>
        <v>3.75</v>
      </c>
      <c r="J34">
        <f t="shared" ref="J34:J61" si="1">I34*D34</f>
        <v>3.75</v>
      </c>
      <c r="K34" t="str">
        <f>IF(VLOOKUP(C34,'Product_Lookup '!$A$2:$F$16,6,FALSE)&lt;VLOOKUP(C34,'Product_Lookup '!$A$2:$F$16,5,FALSE),"Reorder Now","OK")</f>
        <v>OK</v>
      </c>
    </row>
    <row r="35" spans="1:11" x14ac:dyDescent="0.3">
      <c r="A35" t="s">
        <v>101</v>
      </c>
      <c r="B35" s="1">
        <v>46079</v>
      </c>
      <c r="C35" t="s">
        <v>23</v>
      </c>
      <c r="D35">
        <v>6</v>
      </c>
      <c r="E35" t="s">
        <v>49</v>
      </c>
      <c r="F35" t="s">
        <v>52</v>
      </c>
      <c r="G35" t="str">
        <f>VLOOKUP(C35,'Product_Lookup '!$A$2:$F$16,2,FALSE)</f>
        <v>Sticky Notes</v>
      </c>
      <c r="H35" t="str">
        <f>VLOOKUP(C35,'Product_Lookup '!$A$2:$F$16,3,FALSE)</f>
        <v>Stationery</v>
      </c>
      <c r="I35">
        <f>VLOOKUP(C35,'Product_Lookup '!$A$2:$F$16,4,FALSE)</f>
        <v>3.75</v>
      </c>
      <c r="J35">
        <f t="shared" si="1"/>
        <v>22.5</v>
      </c>
      <c r="K35" t="str">
        <f>IF(VLOOKUP(C35,'Product_Lookup '!$A$2:$F$16,6,FALSE)&lt;VLOOKUP(C35,'Product_Lookup '!$A$2:$F$16,5,FALSE),"Reorder Now","OK")</f>
        <v>OK</v>
      </c>
    </row>
    <row r="36" spans="1:11" x14ac:dyDescent="0.3">
      <c r="A36" t="s">
        <v>105</v>
      </c>
      <c r="B36" s="1">
        <v>46036</v>
      </c>
      <c r="C36" t="s">
        <v>23</v>
      </c>
      <c r="D36">
        <v>5</v>
      </c>
      <c r="E36" t="s">
        <v>49</v>
      </c>
      <c r="F36" t="s">
        <v>52</v>
      </c>
      <c r="G36" t="str">
        <f>VLOOKUP(C36,'Product_Lookup '!$A$2:$F$16,2,FALSE)</f>
        <v>Sticky Notes</v>
      </c>
      <c r="H36" t="str">
        <f>VLOOKUP(C36,'Product_Lookup '!$A$2:$F$16,3,FALSE)</f>
        <v>Stationery</v>
      </c>
      <c r="I36">
        <f>VLOOKUP(C36,'Product_Lookup '!$A$2:$F$16,4,FALSE)</f>
        <v>3.75</v>
      </c>
      <c r="J36">
        <f t="shared" si="1"/>
        <v>18.75</v>
      </c>
      <c r="K36" t="str">
        <f>IF(VLOOKUP(C36,'Product_Lookup '!$A$2:$F$16,6,FALSE)&lt;VLOOKUP(C36,'Product_Lookup '!$A$2:$F$16,5,FALSE),"Reorder Now","OK")</f>
        <v>OK</v>
      </c>
    </row>
    <row r="37" spans="1:11" x14ac:dyDescent="0.3">
      <c r="A37" t="s">
        <v>61</v>
      </c>
      <c r="B37" s="1">
        <v>46085</v>
      </c>
      <c r="C37" t="s">
        <v>25</v>
      </c>
      <c r="D37">
        <v>1</v>
      </c>
      <c r="E37" t="s">
        <v>55</v>
      </c>
      <c r="F37" t="s">
        <v>52</v>
      </c>
      <c r="G37" t="str">
        <f>VLOOKUP(C37,'Product_Lookup '!$A$2:$F$16,2,FALSE)</f>
        <v>Desk Organizer</v>
      </c>
      <c r="H37" t="str">
        <f>VLOOKUP(C37,'Product_Lookup '!$A$2:$F$16,3,FALSE)</f>
        <v>Furniture</v>
      </c>
      <c r="I37">
        <f>VLOOKUP(C37,'Product_Lookup '!$A$2:$F$16,4,FALSE)</f>
        <v>22</v>
      </c>
      <c r="J37">
        <f t="shared" si="1"/>
        <v>22</v>
      </c>
      <c r="K37" t="str">
        <f>IF(VLOOKUP(C37,'Product_Lookup '!$A$2:$F$16,6,FALSE)&lt;VLOOKUP(C37,'Product_Lookup '!$A$2:$F$16,5,FALSE),"Reorder Now","OK")</f>
        <v>OK</v>
      </c>
    </row>
    <row r="38" spans="1:11" x14ac:dyDescent="0.3">
      <c r="A38" t="s">
        <v>83</v>
      </c>
      <c r="B38" s="1">
        <v>46060</v>
      </c>
      <c r="C38" t="s">
        <v>25</v>
      </c>
      <c r="D38">
        <v>2</v>
      </c>
      <c r="E38" t="s">
        <v>49</v>
      </c>
      <c r="F38" t="s">
        <v>70</v>
      </c>
      <c r="G38" t="str">
        <f>VLOOKUP(C38,'Product_Lookup '!$A$2:$F$16,2,FALSE)</f>
        <v>Desk Organizer</v>
      </c>
      <c r="H38" t="str">
        <f>VLOOKUP(C38,'Product_Lookup '!$A$2:$F$16,3,FALSE)</f>
        <v>Furniture</v>
      </c>
      <c r="I38">
        <f>VLOOKUP(C38,'Product_Lookup '!$A$2:$F$16,4,FALSE)</f>
        <v>22</v>
      </c>
      <c r="J38">
        <f t="shared" si="1"/>
        <v>44</v>
      </c>
      <c r="K38" t="str">
        <f>IF(VLOOKUP(C38,'Product_Lookup '!$A$2:$F$16,6,FALSE)&lt;VLOOKUP(C38,'Product_Lookup '!$A$2:$F$16,5,FALSE),"Reorder Now","OK")</f>
        <v>OK</v>
      </c>
    </row>
    <row r="39" spans="1:11" x14ac:dyDescent="0.3">
      <c r="A39" t="s">
        <v>84</v>
      </c>
      <c r="B39" s="1">
        <v>46108</v>
      </c>
      <c r="C39" t="s">
        <v>25</v>
      </c>
      <c r="D39">
        <v>5</v>
      </c>
      <c r="E39" t="s">
        <v>58</v>
      </c>
      <c r="F39" t="s">
        <v>47</v>
      </c>
      <c r="G39" t="str">
        <f>VLOOKUP(C39,'Product_Lookup '!$A$2:$F$16,2,FALSE)</f>
        <v>Desk Organizer</v>
      </c>
      <c r="H39" t="str">
        <f>VLOOKUP(C39,'Product_Lookup '!$A$2:$F$16,3,FALSE)</f>
        <v>Furniture</v>
      </c>
      <c r="I39">
        <f>VLOOKUP(C39,'Product_Lookup '!$A$2:$F$16,4,FALSE)</f>
        <v>22</v>
      </c>
      <c r="J39">
        <f t="shared" si="1"/>
        <v>110</v>
      </c>
      <c r="K39" t="str">
        <f>IF(VLOOKUP(C39,'Product_Lookup '!$A$2:$F$16,6,FALSE)&lt;VLOOKUP(C39,'Product_Lookup '!$A$2:$F$16,5,FALSE),"Reorder Now","OK")</f>
        <v>OK</v>
      </c>
    </row>
    <row r="40" spans="1:11" x14ac:dyDescent="0.3">
      <c r="A40" t="s">
        <v>106</v>
      </c>
      <c r="B40" s="1">
        <v>46110</v>
      </c>
      <c r="C40" t="s">
        <v>25</v>
      </c>
      <c r="D40">
        <v>1</v>
      </c>
      <c r="E40" t="s">
        <v>49</v>
      </c>
      <c r="F40" t="s">
        <v>47</v>
      </c>
      <c r="G40" t="str">
        <f>VLOOKUP(C40,'Product_Lookup '!$A$2:$F$16,2,FALSE)</f>
        <v>Desk Organizer</v>
      </c>
      <c r="H40" t="str">
        <f>VLOOKUP(C40,'Product_Lookup '!$A$2:$F$16,3,FALSE)</f>
        <v>Furniture</v>
      </c>
      <c r="I40">
        <f>VLOOKUP(C40,'Product_Lookup '!$A$2:$F$16,4,FALSE)</f>
        <v>22</v>
      </c>
      <c r="J40">
        <f t="shared" si="1"/>
        <v>22</v>
      </c>
      <c r="K40" t="str">
        <f>IF(VLOOKUP(C40,'Product_Lookup '!$A$2:$F$16,6,FALSE)&lt;VLOOKUP(C40,'Product_Lookup '!$A$2:$F$16,5,FALSE),"Reorder Now","OK")</f>
        <v>OK</v>
      </c>
    </row>
    <row r="41" spans="1:11" x14ac:dyDescent="0.3">
      <c r="A41" t="s">
        <v>51</v>
      </c>
      <c r="B41" s="1">
        <v>46038</v>
      </c>
      <c r="C41" t="s">
        <v>28</v>
      </c>
      <c r="D41">
        <v>4</v>
      </c>
      <c r="E41" t="s">
        <v>49</v>
      </c>
      <c r="F41" t="s">
        <v>52</v>
      </c>
      <c r="G41" t="str">
        <f>VLOOKUP(C41,'Product_Lookup '!$A$2:$F$16,2,FALSE)</f>
        <v>Office Chair</v>
      </c>
      <c r="H41" t="str">
        <f>VLOOKUP(C41,'Product_Lookup '!$A$2:$F$16,3,FALSE)</f>
        <v>Furniture</v>
      </c>
      <c r="I41">
        <f>VLOOKUP(C41,'Product_Lookup '!$A$2:$F$16,4,FALSE)</f>
        <v>145</v>
      </c>
      <c r="J41">
        <f t="shared" si="1"/>
        <v>580</v>
      </c>
      <c r="K41" t="str">
        <f>IF(VLOOKUP(C41,'Product_Lookup '!$A$2:$F$16,6,FALSE)&lt;VLOOKUP(C41,'Product_Lookup '!$A$2:$F$16,5,FALSE),"Reorder Now","OK")</f>
        <v>Reorder Now</v>
      </c>
    </row>
    <row r="42" spans="1:11" x14ac:dyDescent="0.3">
      <c r="A42" t="s">
        <v>56</v>
      </c>
      <c r="B42" s="1">
        <v>46084</v>
      </c>
      <c r="C42" t="s">
        <v>28</v>
      </c>
      <c r="D42">
        <v>3</v>
      </c>
      <c r="E42" t="s">
        <v>49</v>
      </c>
      <c r="F42" t="s">
        <v>47</v>
      </c>
      <c r="G42" t="str">
        <f>VLOOKUP(C42,'Product_Lookup '!$A$2:$F$16,2,FALSE)</f>
        <v>Office Chair</v>
      </c>
      <c r="H42" t="str">
        <f>VLOOKUP(C42,'Product_Lookup '!$A$2:$F$16,3,FALSE)</f>
        <v>Furniture</v>
      </c>
      <c r="I42">
        <f>VLOOKUP(C42,'Product_Lookup '!$A$2:$F$16,4,FALSE)</f>
        <v>145</v>
      </c>
      <c r="J42">
        <f t="shared" si="1"/>
        <v>435</v>
      </c>
      <c r="K42" t="str">
        <f>IF(VLOOKUP(C42,'Product_Lookup '!$A$2:$F$16,6,FALSE)&lt;VLOOKUP(C42,'Product_Lookup '!$A$2:$F$16,5,FALSE),"Reorder Now","OK")</f>
        <v>Reorder Now</v>
      </c>
    </row>
    <row r="43" spans="1:11" x14ac:dyDescent="0.3">
      <c r="A43" t="s">
        <v>78</v>
      </c>
      <c r="B43" s="1">
        <v>46081</v>
      </c>
      <c r="C43" t="s">
        <v>28</v>
      </c>
      <c r="D43">
        <v>1</v>
      </c>
      <c r="E43" t="s">
        <v>55</v>
      </c>
      <c r="F43" t="s">
        <v>65</v>
      </c>
      <c r="G43" t="str">
        <f>VLOOKUP(C43,'Product_Lookup '!$A$2:$F$16,2,FALSE)</f>
        <v>Office Chair</v>
      </c>
      <c r="H43" t="str">
        <f>VLOOKUP(C43,'Product_Lookup '!$A$2:$F$16,3,FALSE)</f>
        <v>Furniture</v>
      </c>
      <c r="I43">
        <f>VLOOKUP(C43,'Product_Lookup '!$A$2:$F$16,4,FALSE)</f>
        <v>145</v>
      </c>
      <c r="J43">
        <f t="shared" si="1"/>
        <v>145</v>
      </c>
      <c r="K43" t="str">
        <f>IF(VLOOKUP(C43,'Product_Lookup '!$A$2:$F$16,6,FALSE)&lt;VLOOKUP(C43,'Product_Lookup '!$A$2:$F$16,5,FALSE),"Reorder Now","OK")</f>
        <v>Reorder Now</v>
      </c>
    </row>
    <row r="44" spans="1:11" x14ac:dyDescent="0.3">
      <c r="A44" t="s">
        <v>113</v>
      </c>
      <c r="B44" s="1">
        <v>46033</v>
      </c>
      <c r="C44" t="s">
        <v>28</v>
      </c>
      <c r="D44">
        <v>4</v>
      </c>
      <c r="E44" t="s">
        <v>58</v>
      </c>
      <c r="F44" t="s">
        <v>52</v>
      </c>
      <c r="G44" t="str">
        <f>VLOOKUP(C44,'Product_Lookup '!$A$2:$F$16,2,FALSE)</f>
        <v>Office Chair</v>
      </c>
      <c r="H44" t="str">
        <f>VLOOKUP(C44,'Product_Lookup '!$A$2:$F$16,3,FALSE)</f>
        <v>Furniture</v>
      </c>
      <c r="I44">
        <f>VLOOKUP(C44,'Product_Lookup '!$A$2:$F$16,4,FALSE)</f>
        <v>145</v>
      </c>
      <c r="J44">
        <f t="shared" si="1"/>
        <v>580</v>
      </c>
      <c r="K44" t="str">
        <f>IF(VLOOKUP(C44,'Product_Lookup '!$A$2:$F$16,6,FALSE)&lt;VLOOKUP(C44,'Product_Lookup '!$A$2:$F$16,5,FALSE),"Reorder Now","OK")</f>
        <v>Reorder Now</v>
      </c>
    </row>
    <row r="45" spans="1:11" x14ac:dyDescent="0.3">
      <c r="A45" t="s">
        <v>68</v>
      </c>
      <c r="B45" s="1">
        <v>46104</v>
      </c>
      <c r="C45" t="s">
        <v>30</v>
      </c>
      <c r="D45">
        <v>2</v>
      </c>
      <c r="E45" t="s">
        <v>58</v>
      </c>
      <c r="F45" t="s">
        <v>47</v>
      </c>
      <c r="G45" t="str">
        <f>VLOOKUP(C45,'Product_Lookup '!$A$2:$F$16,2,FALSE)</f>
        <v>Standing Desk</v>
      </c>
      <c r="H45" t="str">
        <f>VLOOKUP(C45,'Product_Lookup '!$A$2:$F$16,3,FALSE)</f>
        <v>Furniture</v>
      </c>
      <c r="I45">
        <f>VLOOKUP(C45,'Product_Lookup '!$A$2:$F$16,4,FALSE)</f>
        <v>299</v>
      </c>
      <c r="J45">
        <f t="shared" si="1"/>
        <v>598</v>
      </c>
      <c r="K45" t="str">
        <f>IF(VLOOKUP(C45,'Product_Lookup '!$A$2:$F$16,6,FALSE)&lt;VLOOKUP(C45,'Product_Lookup '!$A$2:$F$16,5,FALSE),"Reorder Now","OK")</f>
        <v>Reorder Now</v>
      </c>
    </row>
    <row r="46" spans="1:11" x14ac:dyDescent="0.3">
      <c r="A46" t="s">
        <v>80</v>
      </c>
      <c r="B46" s="1">
        <v>46028</v>
      </c>
      <c r="C46" t="s">
        <v>30</v>
      </c>
      <c r="D46">
        <v>6</v>
      </c>
      <c r="E46" t="s">
        <v>49</v>
      </c>
      <c r="F46" t="s">
        <v>50</v>
      </c>
      <c r="G46" t="str">
        <f>VLOOKUP(C46,'Product_Lookup '!$A$2:$F$16,2,FALSE)</f>
        <v>Standing Desk</v>
      </c>
      <c r="H46" t="str">
        <f>VLOOKUP(C46,'Product_Lookup '!$A$2:$F$16,3,FALSE)</f>
        <v>Furniture</v>
      </c>
      <c r="I46">
        <f>VLOOKUP(C46,'Product_Lookup '!$A$2:$F$16,4,FALSE)</f>
        <v>299</v>
      </c>
      <c r="J46">
        <f t="shared" si="1"/>
        <v>1794</v>
      </c>
      <c r="K46" t="str">
        <f>IF(VLOOKUP(C46,'Product_Lookup '!$A$2:$F$16,6,FALSE)&lt;VLOOKUP(C46,'Product_Lookup '!$A$2:$F$16,5,FALSE),"Reorder Now","OK")</f>
        <v>Reorder Now</v>
      </c>
    </row>
    <row r="47" spans="1:11" x14ac:dyDescent="0.3">
      <c r="A47" t="s">
        <v>92</v>
      </c>
      <c r="B47" s="1">
        <v>46078</v>
      </c>
      <c r="C47" t="s">
        <v>30</v>
      </c>
      <c r="D47">
        <v>6</v>
      </c>
      <c r="E47" t="s">
        <v>46</v>
      </c>
      <c r="F47" t="s">
        <v>65</v>
      </c>
      <c r="G47" t="str">
        <f>VLOOKUP(C47,'Product_Lookup '!$A$2:$F$16,2,FALSE)</f>
        <v>Standing Desk</v>
      </c>
      <c r="H47" t="str">
        <f>VLOOKUP(C47,'Product_Lookup '!$A$2:$F$16,3,FALSE)</f>
        <v>Furniture</v>
      </c>
      <c r="I47">
        <f>VLOOKUP(C47,'Product_Lookup '!$A$2:$F$16,4,FALSE)</f>
        <v>299</v>
      </c>
      <c r="J47">
        <f t="shared" si="1"/>
        <v>1794</v>
      </c>
      <c r="K47" t="str">
        <f>IF(VLOOKUP(C47,'Product_Lookup '!$A$2:$F$16,6,FALSE)&lt;VLOOKUP(C47,'Product_Lookup '!$A$2:$F$16,5,FALSE),"Reorder Now","OK")</f>
        <v>Reorder Now</v>
      </c>
    </row>
    <row r="48" spans="1:11" x14ac:dyDescent="0.3">
      <c r="A48" t="s">
        <v>100</v>
      </c>
      <c r="B48" s="1">
        <v>46039</v>
      </c>
      <c r="C48" t="s">
        <v>30</v>
      </c>
      <c r="D48">
        <v>4</v>
      </c>
      <c r="E48" t="s">
        <v>46</v>
      </c>
      <c r="F48" t="s">
        <v>65</v>
      </c>
      <c r="G48" t="str">
        <f>VLOOKUP(C48,'Product_Lookup '!$A$2:$F$16,2,FALSE)</f>
        <v>Standing Desk</v>
      </c>
      <c r="H48" t="str">
        <f>VLOOKUP(C48,'Product_Lookup '!$A$2:$F$16,3,FALSE)</f>
        <v>Furniture</v>
      </c>
      <c r="I48">
        <f>VLOOKUP(C48,'Product_Lookup '!$A$2:$F$16,4,FALSE)</f>
        <v>299</v>
      </c>
      <c r="J48">
        <f t="shared" si="1"/>
        <v>1196</v>
      </c>
      <c r="K48" t="str">
        <f>IF(VLOOKUP(C48,'Product_Lookup '!$A$2:$F$16,6,FALSE)&lt;VLOOKUP(C48,'Product_Lookup '!$A$2:$F$16,5,FALSE),"Reorder Now","OK")</f>
        <v>Reorder Now</v>
      </c>
    </row>
    <row r="49" spans="1:11" x14ac:dyDescent="0.3">
      <c r="A49" t="s">
        <v>54</v>
      </c>
      <c r="B49" s="1">
        <v>46052</v>
      </c>
      <c r="C49" t="s">
        <v>32</v>
      </c>
      <c r="D49">
        <v>6</v>
      </c>
      <c r="E49" t="s">
        <v>55</v>
      </c>
      <c r="F49" t="s">
        <v>47</v>
      </c>
      <c r="G49" t="str">
        <f>VLOOKUP(C49,'Product_Lookup '!$A$2:$F$16,2,FALSE)</f>
        <v>Webcam HD</v>
      </c>
      <c r="H49" t="str">
        <f>VLOOKUP(C49,'Product_Lookup '!$A$2:$F$16,3,FALSE)</f>
        <v>Electronics</v>
      </c>
      <c r="I49">
        <f>VLOOKUP(C49,'Product_Lookup '!$A$2:$F$16,4,FALSE)</f>
        <v>55</v>
      </c>
      <c r="J49">
        <f t="shared" si="1"/>
        <v>330</v>
      </c>
      <c r="K49" t="str">
        <f>IF(VLOOKUP(C49,'Product_Lookup '!$A$2:$F$16,6,FALSE)&lt;VLOOKUP(C49,'Product_Lookup '!$A$2:$F$16,5,FALSE),"Reorder Now","OK")</f>
        <v>Reorder Now</v>
      </c>
    </row>
    <row r="50" spans="1:11" x14ac:dyDescent="0.3">
      <c r="A50" t="s">
        <v>63</v>
      </c>
      <c r="B50" s="1">
        <v>46051</v>
      </c>
      <c r="C50" t="s">
        <v>32</v>
      </c>
      <c r="D50">
        <v>1</v>
      </c>
      <c r="E50" t="s">
        <v>49</v>
      </c>
      <c r="F50" t="s">
        <v>47</v>
      </c>
      <c r="G50" t="str">
        <f>VLOOKUP(C50,'Product_Lookup '!$A$2:$F$16,2,FALSE)</f>
        <v>Webcam HD</v>
      </c>
      <c r="H50" t="str">
        <f>VLOOKUP(C50,'Product_Lookup '!$A$2:$F$16,3,FALSE)</f>
        <v>Electronics</v>
      </c>
      <c r="I50">
        <f>VLOOKUP(C50,'Product_Lookup '!$A$2:$F$16,4,FALSE)</f>
        <v>55</v>
      </c>
      <c r="J50">
        <f t="shared" si="1"/>
        <v>55</v>
      </c>
      <c r="K50" t="str">
        <f>IF(VLOOKUP(C50,'Product_Lookup '!$A$2:$F$16,6,FALSE)&lt;VLOOKUP(C50,'Product_Lookup '!$A$2:$F$16,5,FALSE),"Reorder Now","OK")</f>
        <v>Reorder Now</v>
      </c>
    </row>
    <row r="51" spans="1:11" x14ac:dyDescent="0.3">
      <c r="A51" t="s">
        <v>110</v>
      </c>
      <c r="B51" s="1">
        <v>46081</v>
      </c>
      <c r="C51" t="s">
        <v>32</v>
      </c>
      <c r="D51">
        <v>6</v>
      </c>
      <c r="E51" t="s">
        <v>55</v>
      </c>
      <c r="F51" t="s">
        <v>47</v>
      </c>
      <c r="G51" t="str">
        <f>VLOOKUP(C51,'Product_Lookup '!$A$2:$F$16,2,FALSE)</f>
        <v>Webcam HD</v>
      </c>
      <c r="H51" t="str">
        <f>VLOOKUP(C51,'Product_Lookup '!$A$2:$F$16,3,FALSE)</f>
        <v>Electronics</v>
      </c>
      <c r="I51">
        <f>VLOOKUP(C51,'Product_Lookup '!$A$2:$F$16,4,FALSE)</f>
        <v>55</v>
      </c>
      <c r="J51">
        <f t="shared" si="1"/>
        <v>330</v>
      </c>
      <c r="K51" t="str">
        <f>IF(VLOOKUP(C51,'Product_Lookup '!$A$2:$F$16,6,FALSE)&lt;VLOOKUP(C51,'Product_Lookup '!$A$2:$F$16,5,FALSE),"Reorder Now","OK")</f>
        <v>Reorder Now</v>
      </c>
    </row>
    <row r="52" spans="1:11" x14ac:dyDescent="0.3">
      <c r="A52" t="s">
        <v>81</v>
      </c>
      <c r="B52" s="1">
        <v>46061</v>
      </c>
      <c r="C52" t="s">
        <v>34</v>
      </c>
      <c r="D52">
        <v>6</v>
      </c>
      <c r="E52" t="s">
        <v>46</v>
      </c>
      <c r="F52" t="s">
        <v>52</v>
      </c>
      <c r="G52" t="str">
        <f>VLOOKUP(C52,'Product_Lookup '!$A$2:$F$16,2,FALSE)</f>
        <v>Phone Case</v>
      </c>
      <c r="H52" t="str">
        <f>VLOOKUP(C52,'Product_Lookup '!$A$2:$F$16,3,FALSE)</f>
        <v>Accessories</v>
      </c>
      <c r="I52">
        <f>VLOOKUP(C52,'Product_Lookup '!$A$2:$F$16,4,FALSE)</f>
        <v>15.99</v>
      </c>
      <c r="J52">
        <f t="shared" si="1"/>
        <v>95.94</v>
      </c>
      <c r="K52" t="str">
        <f>IF(VLOOKUP(C52,'Product_Lookup '!$A$2:$F$16,6,FALSE)&lt;VLOOKUP(C52,'Product_Lookup '!$A$2:$F$16,5,FALSE),"Reorder Now","OK")</f>
        <v>OK</v>
      </c>
    </row>
    <row r="53" spans="1:11" x14ac:dyDescent="0.3">
      <c r="A53" t="s">
        <v>85</v>
      </c>
      <c r="B53" s="1">
        <v>46074</v>
      </c>
      <c r="C53" t="s">
        <v>34</v>
      </c>
      <c r="D53">
        <v>2</v>
      </c>
      <c r="E53" t="s">
        <v>49</v>
      </c>
      <c r="F53" t="s">
        <v>50</v>
      </c>
      <c r="G53" t="str">
        <f>VLOOKUP(C53,'Product_Lookup '!$A$2:$F$16,2,FALSE)</f>
        <v>Phone Case</v>
      </c>
      <c r="H53" t="str">
        <f>VLOOKUP(C53,'Product_Lookup '!$A$2:$F$16,3,FALSE)</f>
        <v>Accessories</v>
      </c>
      <c r="I53">
        <f>VLOOKUP(C53,'Product_Lookup '!$A$2:$F$16,4,FALSE)</f>
        <v>15.99</v>
      </c>
      <c r="J53">
        <f t="shared" si="1"/>
        <v>31.98</v>
      </c>
      <c r="K53" t="str">
        <f>IF(VLOOKUP(C53,'Product_Lookup '!$A$2:$F$16,6,FALSE)&lt;VLOOKUP(C53,'Product_Lookup '!$A$2:$F$16,5,FALSE),"Reorder Now","OK")</f>
        <v>OK</v>
      </c>
    </row>
    <row r="54" spans="1:11" x14ac:dyDescent="0.3">
      <c r="A54" t="s">
        <v>89</v>
      </c>
      <c r="B54" s="1">
        <v>46095</v>
      </c>
      <c r="C54" t="s">
        <v>34</v>
      </c>
      <c r="D54">
        <v>2</v>
      </c>
      <c r="E54" t="s">
        <v>58</v>
      </c>
      <c r="F54" t="s">
        <v>65</v>
      </c>
      <c r="G54" t="str">
        <f>VLOOKUP(C54,'Product_Lookup '!$A$2:$F$16,2,FALSE)</f>
        <v>Phone Case</v>
      </c>
      <c r="H54" t="str">
        <f>VLOOKUP(C54,'Product_Lookup '!$A$2:$F$16,3,FALSE)</f>
        <v>Accessories</v>
      </c>
      <c r="I54">
        <f>VLOOKUP(C54,'Product_Lookup '!$A$2:$F$16,4,FALSE)</f>
        <v>15.99</v>
      </c>
      <c r="J54">
        <f t="shared" si="1"/>
        <v>31.98</v>
      </c>
      <c r="K54" t="str">
        <f>IF(VLOOKUP(C54,'Product_Lookup '!$A$2:$F$16,6,FALSE)&lt;VLOOKUP(C54,'Product_Lookup '!$A$2:$F$16,5,FALSE),"Reorder Now","OK")</f>
        <v>OK</v>
      </c>
    </row>
    <row r="55" spans="1:11" x14ac:dyDescent="0.3">
      <c r="A55" t="s">
        <v>91</v>
      </c>
      <c r="B55" s="1">
        <v>46096</v>
      </c>
      <c r="C55" t="s">
        <v>34</v>
      </c>
      <c r="D55">
        <v>6</v>
      </c>
      <c r="E55" t="s">
        <v>58</v>
      </c>
      <c r="F55" t="s">
        <v>70</v>
      </c>
      <c r="G55" t="str">
        <f>VLOOKUP(C55,'Product_Lookup '!$A$2:$F$16,2,FALSE)</f>
        <v>Phone Case</v>
      </c>
      <c r="H55" t="str">
        <f>VLOOKUP(C55,'Product_Lookup '!$A$2:$F$16,3,FALSE)</f>
        <v>Accessories</v>
      </c>
      <c r="I55">
        <f>VLOOKUP(C55,'Product_Lookup '!$A$2:$F$16,4,FALSE)</f>
        <v>15.99</v>
      </c>
      <c r="J55">
        <f t="shared" si="1"/>
        <v>95.94</v>
      </c>
      <c r="K55" t="str">
        <f>IF(VLOOKUP(C55,'Product_Lookup '!$A$2:$F$16,6,FALSE)&lt;VLOOKUP(C55,'Product_Lookup '!$A$2:$F$16,5,FALSE),"Reorder Now","OK")</f>
        <v>OK</v>
      </c>
    </row>
    <row r="56" spans="1:11" x14ac:dyDescent="0.3">
      <c r="A56" t="s">
        <v>99</v>
      </c>
      <c r="B56" s="1">
        <v>46087</v>
      </c>
      <c r="C56" t="s">
        <v>34</v>
      </c>
      <c r="D56">
        <v>4</v>
      </c>
      <c r="E56" t="s">
        <v>58</v>
      </c>
      <c r="F56" t="s">
        <v>52</v>
      </c>
      <c r="G56" t="str">
        <f>VLOOKUP(C56,'Product_Lookup '!$A$2:$F$16,2,FALSE)</f>
        <v>Phone Case</v>
      </c>
      <c r="H56" t="str">
        <f>VLOOKUP(C56,'Product_Lookup '!$A$2:$F$16,3,FALSE)</f>
        <v>Accessories</v>
      </c>
      <c r="I56">
        <f>VLOOKUP(C56,'Product_Lookup '!$A$2:$F$16,4,FALSE)</f>
        <v>15.99</v>
      </c>
      <c r="J56">
        <f t="shared" si="1"/>
        <v>63.96</v>
      </c>
      <c r="K56" t="str">
        <f>IF(VLOOKUP(C56,'Product_Lookup '!$A$2:$F$16,6,FALSE)&lt;VLOOKUP(C56,'Product_Lookup '!$A$2:$F$16,5,FALSE),"Reorder Now","OK")</f>
        <v>OK</v>
      </c>
    </row>
    <row r="57" spans="1:11" x14ac:dyDescent="0.3">
      <c r="A57" t="s">
        <v>60</v>
      </c>
      <c r="B57" s="1">
        <v>46072</v>
      </c>
      <c r="C57" t="s">
        <v>36</v>
      </c>
      <c r="D57">
        <v>3</v>
      </c>
      <c r="E57" t="s">
        <v>46</v>
      </c>
      <c r="F57" t="s">
        <v>52</v>
      </c>
      <c r="G57" t="str">
        <f>VLOOKUP(C57,'Product_Lookup '!$A$2:$F$16,2,FALSE)</f>
        <v>Laptop Bag</v>
      </c>
      <c r="H57" t="str">
        <f>VLOOKUP(C57,'Product_Lookup '!$A$2:$F$16,3,FALSE)</f>
        <v>Accessories</v>
      </c>
      <c r="I57">
        <f>VLOOKUP(C57,'Product_Lookup '!$A$2:$F$16,4,FALSE)</f>
        <v>42.5</v>
      </c>
      <c r="J57">
        <f t="shared" si="1"/>
        <v>127.5</v>
      </c>
      <c r="K57" t="str">
        <f>IF(VLOOKUP(C57,'Product_Lookup '!$A$2:$F$16,6,FALSE)&lt;VLOOKUP(C57,'Product_Lookup '!$A$2:$F$16,5,FALSE),"Reorder Now","OK")</f>
        <v>Reorder Now</v>
      </c>
    </row>
    <row r="58" spans="1:11" x14ac:dyDescent="0.3">
      <c r="A58" t="s">
        <v>77</v>
      </c>
      <c r="B58" s="1">
        <v>46033</v>
      </c>
      <c r="C58" t="s">
        <v>36</v>
      </c>
      <c r="D58">
        <v>1</v>
      </c>
      <c r="E58" t="s">
        <v>58</v>
      </c>
      <c r="F58" t="s">
        <v>47</v>
      </c>
      <c r="G58" t="str">
        <f>VLOOKUP(C58,'Product_Lookup '!$A$2:$F$16,2,FALSE)</f>
        <v>Laptop Bag</v>
      </c>
      <c r="H58" t="str">
        <f>VLOOKUP(C58,'Product_Lookup '!$A$2:$F$16,3,FALSE)</f>
        <v>Accessories</v>
      </c>
      <c r="I58">
        <f>VLOOKUP(C58,'Product_Lookup '!$A$2:$F$16,4,FALSE)</f>
        <v>42.5</v>
      </c>
      <c r="J58">
        <f t="shared" si="1"/>
        <v>42.5</v>
      </c>
      <c r="K58" t="str">
        <f>IF(VLOOKUP(C58,'Product_Lookup '!$A$2:$F$16,6,FALSE)&lt;VLOOKUP(C58,'Product_Lookup '!$A$2:$F$16,5,FALSE),"Reorder Now","OK")</f>
        <v>Reorder Now</v>
      </c>
    </row>
    <row r="59" spans="1:11" x14ac:dyDescent="0.3">
      <c r="A59" t="s">
        <v>75</v>
      </c>
      <c r="B59" s="1">
        <v>46081</v>
      </c>
      <c r="C59" t="s">
        <v>38</v>
      </c>
      <c r="D59">
        <v>5</v>
      </c>
      <c r="E59" t="s">
        <v>55</v>
      </c>
      <c r="F59" t="s">
        <v>70</v>
      </c>
      <c r="G59" t="str">
        <f>VLOOKUP(C59,'Product_Lookup '!$A$2:$F$16,2,FALSE)</f>
        <v>Monitor 24-inch</v>
      </c>
      <c r="H59" t="str">
        <f>VLOOKUP(C59,'Product_Lookup '!$A$2:$F$16,3,FALSE)</f>
        <v>Electronics</v>
      </c>
      <c r="I59">
        <f>VLOOKUP(C59,'Product_Lookup '!$A$2:$F$16,4,FALSE)</f>
        <v>159.99</v>
      </c>
      <c r="J59">
        <f t="shared" si="1"/>
        <v>799.95</v>
      </c>
      <c r="K59" t="str">
        <f>IF(VLOOKUP(C59,'Product_Lookup '!$A$2:$F$16,6,FALSE)&lt;VLOOKUP(C59,'Product_Lookup '!$A$2:$F$16,5,FALSE),"Reorder Now","OK")</f>
        <v>Reorder Now</v>
      </c>
    </row>
    <row r="60" spans="1:11" x14ac:dyDescent="0.3">
      <c r="A60" t="s">
        <v>96</v>
      </c>
      <c r="B60" s="1">
        <v>46035</v>
      </c>
      <c r="C60" t="s">
        <v>38</v>
      </c>
      <c r="D60">
        <v>1</v>
      </c>
      <c r="E60" t="s">
        <v>46</v>
      </c>
      <c r="F60" t="s">
        <v>52</v>
      </c>
      <c r="G60" t="str">
        <f>VLOOKUP(C60,'Product_Lookup '!$A$2:$F$16,2,FALSE)</f>
        <v>Monitor 24-inch</v>
      </c>
      <c r="H60" t="str">
        <f>VLOOKUP(C60,'Product_Lookup '!$A$2:$F$16,3,FALSE)</f>
        <v>Electronics</v>
      </c>
      <c r="I60">
        <f>VLOOKUP(C60,'Product_Lookup '!$A$2:$F$16,4,FALSE)</f>
        <v>159.99</v>
      </c>
      <c r="J60">
        <f t="shared" si="1"/>
        <v>159.99</v>
      </c>
      <c r="K60" t="str">
        <f>IF(VLOOKUP(C60,'Product_Lookup '!$A$2:$F$16,6,FALSE)&lt;VLOOKUP(C60,'Product_Lookup '!$A$2:$F$16,5,FALSE),"Reorder Now","OK")</f>
        <v>Reorder Now</v>
      </c>
    </row>
    <row r="61" spans="1:11" x14ac:dyDescent="0.3">
      <c r="A61" t="s">
        <v>108</v>
      </c>
      <c r="B61" s="1">
        <v>46078</v>
      </c>
      <c r="C61" t="s">
        <v>38</v>
      </c>
      <c r="D61">
        <v>1</v>
      </c>
      <c r="E61" t="s">
        <v>58</v>
      </c>
      <c r="F61" t="s">
        <v>65</v>
      </c>
      <c r="G61" t="str">
        <f>VLOOKUP(C61,'Product_Lookup '!$A$2:$F$16,2,FALSE)</f>
        <v>Monitor 24-inch</v>
      </c>
      <c r="H61" t="str">
        <f>VLOOKUP(C61,'Product_Lookup '!$A$2:$F$16,3,FALSE)</f>
        <v>Electronics</v>
      </c>
      <c r="I61">
        <f>VLOOKUP(C61,'Product_Lookup '!$A$2:$F$16,4,FALSE)</f>
        <v>159.99</v>
      </c>
      <c r="J61">
        <f t="shared" si="1"/>
        <v>159.99</v>
      </c>
      <c r="K61" t="str">
        <f>IF(VLOOKUP(C61,'Product_Lookup '!$A$2:$F$16,6,FALSE)&lt;VLOOKUP(C61,'Product_Lookup '!$A$2:$F$16,5,FALSE),"Reorder Now","OK")</f>
        <v>Reorder Now</v>
      </c>
    </row>
    <row r="62" spans="1:11" x14ac:dyDescent="0.3">
      <c r="B62" s="1"/>
    </row>
    <row r="63" spans="1:11" x14ac:dyDescent="0.3">
      <c r="B63" s="1"/>
    </row>
    <row r="64" spans="1:11" x14ac:dyDescent="0.3">
      <c r="B64" s="1"/>
    </row>
    <row r="65" spans="2:2" x14ac:dyDescent="0.3">
      <c r="B6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F0D6-D4F2-45F9-8555-550AC196B33B}">
  <sheetPr>
    <tabColor rgb="FF92D050"/>
  </sheetPr>
  <dimension ref="A1:B8"/>
  <sheetViews>
    <sheetView zoomScale="117" workbookViewId="0">
      <selection activeCell="A4" sqref="A4"/>
    </sheetView>
  </sheetViews>
  <sheetFormatPr defaultRowHeight="14.4" x14ac:dyDescent="0.3"/>
  <sheetData>
    <row r="1" spans="1:2" x14ac:dyDescent="0.3">
      <c r="A1" s="2" t="s">
        <v>117</v>
      </c>
      <c r="B1" s="2" t="s">
        <v>118</v>
      </c>
    </row>
    <row r="2" spans="1:2" x14ac:dyDescent="0.3">
      <c r="A2" t="s">
        <v>119</v>
      </c>
      <c r="B2">
        <f>COUNTA(Sales_Data!A2:A65)</f>
        <v>60</v>
      </c>
    </row>
    <row r="3" spans="1:2" x14ac:dyDescent="0.3">
      <c r="A3" t="s">
        <v>120</v>
      </c>
      <c r="B3">
        <f>COUNTIF(Sales_Data!E2:E65,"north")</f>
        <v>15</v>
      </c>
    </row>
    <row r="4" spans="1:2" x14ac:dyDescent="0.3">
      <c r="A4" t="s">
        <v>121</v>
      </c>
      <c r="B4">
        <f>COUNTIFS(Sales_Data!E2:E65,"north",Sales_Data!H2:H65,"Electronics")</f>
        <v>5</v>
      </c>
    </row>
    <row r="5" spans="1:2" x14ac:dyDescent="0.3">
      <c r="A5" t="s">
        <v>122</v>
      </c>
      <c r="B5">
        <f>SUMIF(Sales_Data!H2:H65,"Electronics",Sales_Data!J2:J65)</f>
        <v>4011.7799999999997</v>
      </c>
    </row>
    <row r="6" spans="1:2" x14ac:dyDescent="0.3">
      <c r="A6" t="s">
        <v>123</v>
      </c>
      <c r="B6">
        <f>SUMIFS(Sales_Data!J2:J65,Sales_Data!E2:E65,"north",Sales_Data!H2:H65,"Electronics")</f>
        <v>555.97</v>
      </c>
    </row>
    <row r="7" spans="1:2" x14ac:dyDescent="0.3">
      <c r="A7" t="s">
        <v>124</v>
      </c>
      <c r="B7">
        <f>AVERAGEIF(Sales_Data!F2:F65,"Priya",Sales_Data!J2:J65)</f>
        <v>303.815</v>
      </c>
    </row>
    <row r="8" spans="1:2" x14ac:dyDescent="0.3">
      <c r="A8" t="s">
        <v>125</v>
      </c>
      <c r="B8">
        <f>COUNTIF(Sales_Data!K2:K65,"Reorder Now")</f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86C1-7202-4C1E-92AA-BF38C11E901C}">
  <sheetPr>
    <tabColor rgb="FF00B0F0"/>
  </sheetPr>
  <dimension ref="A1:F9"/>
  <sheetViews>
    <sheetView zoomScale="82" workbookViewId="0">
      <selection activeCell="G13" sqref="G13"/>
    </sheetView>
  </sheetViews>
  <sheetFormatPr defaultRowHeight="14.4" x14ac:dyDescent="0.3"/>
  <cols>
    <col min="1" max="1" width="16" bestFit="1" customWidth="1"/>
    <col min="2" max="2" width="15.5546875" bestFit="1" customWidth="1"/>
    <col min="3" max="5" width="8" bestFit="1" customWidth="1"/>
    <col min="6" max="6" width="10.77734375" bestFit="1" customWidth="1"/>
  </cols>
  <sheetData>
    <row r="1" spans="1:6" x14ac:dyDescent="0.3">
      <c r="A1" s="3" t="s">
        <v>44</v>
      </c>
      <c r="B1" t="s">
        <v>130</v>
      </c>
    </row>
    <row r="3" spans="1:6" x14ac:dyDescent="0.3">
      <c r="A3" s="3" t="s">
        <v>129</v>
      </c>
      <c r="B3" s="3" t="s">
        <v>128</v>
      </c>
    </row>
    <row r="4" spans="1:6" x14ac:dyDescent="0.3">
      <c r="A4" s="3" t="s">
        <v>126</v>
      </c>
      <c r="B4" t="s">
        <v>46</v>
      </c>
      <c r="C4" t="s">
        <v>49</v>
      </c>
      <c r="D4" t="s">
        <v>58</v>
      </c>
      <c r="E4" t="s">
        <v>55</v>
      </c>
      <c r="F4" t="s">
        <v>127</v>
      </c>
    </row>
    <row r="5" spans="1:6" x14ac:dyDescent="0.3">
      <c r="A5" s="4" t="s">
        <v>15</v>
      </c>
      <c r="B5">
        <v>258.44</v>
      </c>
      <c r="C5">
        <v>101.98</v>
      </c>
      <c r="D5">
        <v>269.38</v>
      </c>
      <c r="E5">
        <v>175</v>
      </c>
      <c r="F5">
        <v>804.8</v>
      </c>
    </row>
    <row r="6" spans="1:6" x14ac:dyDescent="0.3">
      <c r="A6" s="4" t="s">
        <v>8</v>
      </c>
      <c r="B6">
        <v>983.36999999999989</v>
      </c>
      <c r="C6">
        <v>555.97</v>
      </c>
      <c r="D6">
        <v>159.99</v>
      </c>
      <c r="E6">
        <v>2312.4499999999998</v>
      </c>
      <c r="F6">
        <v>4011.7799999999997</v>
      </c>
    </row>
    <row r="7" spans="1:6" x14ac:dyDescent="0.3">
      <c r="A7" s="4" t="s">
        <v>27</v>
      </c>
      <c r="B7">
        <v>2990</v>
      </c>
      <c r="C7">
        <v>2875</v>
      </c>
      <c r="D7">
        <v>1288</v>
      </c>
      <c r="E7">
        <v>167</v>
      </c>
      <c r="F7">
        <v>7320</v>
      </c>
    </row>
    <row r="8" spans="1:6" x14ac:dyDescent="0.3">
      <c r="A8" s="4" t="s">
        <v>20</v>
      </c>
      <c r="B8">
        <v>95.75</v>
      </c>
      <c r="C8">
        <v>45</v>
      </c>
      <c r="D8">
        <v>56.5</v>
      </c>
      <c r="E8">
        <v>71.25</v>
      </c>
      <c r="F8">
        <v>268.5</v>
      </c>
    </row>
    <row r="9" spans="1:6" x14ac:dyDescent="0.3">
      <c r="A9" s="4" t="s">
        <v>127</v>
      </c>
      <c r="B9">
        <v>4327.5599999999995</v>
      </c>
      <c r="C9">
        <v>3577.95</v>
      </c>
      <c r="D9">
        <v>1773.87</v>
      </c>
      <c r="E9">
        <v>2725.7</v>
      </c>
      <c r="F9">
        <v>12405.08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E805-F1A8-4216-A688-2061A37EB3C3}">
  <sheetPr>
    <tabColor rgb="FFFF0000"/>
  </sheetPr>
  <dimension ref="B2:E5"/>
  <sheetViews>
    <sheetView zoomScale="48" zoomScaleNormal="66" workbookViewId="0">
      <selection activeCell="D11" sqref="D11"/>
    </sheetView>
  </sheetViews>
  <sheetFormatPr defaultRowHeight="14.4" x14ac:dyDescent="0.3"/>
  <cols>
    <col min="2" max="2" width="20" bestFit="1" customWidth="1"/>
    <col min="3" max="3" width="16.77734375" bestFit="1" customWidth="1"/>
    <col min="4" max="4" width="22.6640625" bestFit="1" customWidth="1"/>
    <col min="5" max="5" width="27.5546875" bestFit="1" customWidth="1"/>
    <col min="6" max="7" width="18.77734375" customWidth="1"/>
  </cols>
  <sheetData>
    <row r="2" spans="2:5" ht="21" x14ac:dyDescent="0.4">
      <c r="B2" s="8" t="s">
        <v>131</v>
      </c>
      <c r="C2" s="8"/>
      <c r="D2" s="8"/>
      <c r="E2" s="8"/>
    </row>
    <row r="4" spans="2:5" ht="24" customHeight="1" x14ac:dyDescent="0.4">
      <c r="B4" s="7" t="s">
        <v>132</v>
      </c>
      <c r="C4" s="7" t="s">
        <v>133</v>
      </c>
      <c r="D4" s="7" t="s">
        <v>134</v>
      </c>
      <c r="E4" s="7" t="s">
        <v>135</v>
      </c>
    </row>
    <row r="5" spans="2:5" ht="40.049999999999997" customHeight="1" x14ac:dyDescent="0.4">
      <c r="B5" s="6">
        <f>SUM(Sales_Data!J2:J61)</f>
        <v>12405.08</v>
      </c>
      <c r="C5" s="5">
        <f>COUNTA(Sales_Data!A2:A61)</f>
        <v>60</v>
      </c>
      <c r="D5" s="6">
        <f>AVERAGE(Sales_Data!J2:J61)</f>
        <v>206.75133333333332</v>
      </c>
      <c r="E5" s="5">
        <f>COUNTIF(Sales_Data!K2:K61,"Reorder Now")</f>
        <v>31</v>
      </c>
    </row>
  </sheetData>
  <mergeCells count="1">
    <mergeCell ref="B2:E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DC3F21-596F-48A9-8CF6-636500085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Product_Lookup </vt:lpstr>
      <vt:lpstr>Sales_Data</vt:lpstr>
      <vt:lpstr>Analysis</vt:lpstr>
      <vt:lpstr>Pivot_Summary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SHAJITH J</dc:creator>
  <cp:lastModifiedBy>AHAMED SHAJITH J</cp:lastModifiedBy>
  <dcterms:created xsi:type="dcterms:W3CDTF">2026-06-18T06:05:10Z</dcterms:created>
  <dcterms:modified xsi:type="dcterms:W3CDTF">2026-06-27T10:33:38Z</dcterms:modified>
</cp:coreProperties>
</file>